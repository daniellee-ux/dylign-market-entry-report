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单位经济测算" sheetId="2" r:id="rId5"/>
    <sheet name="白空间论证" sheetId="3" r:id="rId6"/>
    <sheet name="供应商shortlist" sheetId="4" r:id="rId7"/>
    <sheet name="供应商×白空间匹配" sheetId="5" r:id="rId8"/>
    <sheet name="供应链Playbook跟踪" sheetId="6" r:id="rId9"/>
    <sheet name="供应链能力矩阵" sheetId="7" r:id="rId10"/>
    <sheet name="建联方式" sheetId="8" r:id="rId11"/>
    <sheet name="竞品对照" sheetId="9" r:id="rId12"/>
    <sheet name="规格矩阵" sheetId="10" r:id="rId13"/>
    <sheet name="贴纸类型资质地理矩阵" sheetId="11" r:id="rId14"/>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<sst xmlns="http://schemas.openxmlformats.org/spreadsheetml/2006/main" count="1584" uniqueCount="1584">
  <si>
    <t xml:space="preserve">  </t>
  </si>
  <si>
    <t xml:space="preserve">单位经济测算模型 v2（改"假设·可改"行结果自动重算；售价=原型BASE曲线·对齐A2锚点；首单CAC按C5口径；采购成本待真实RFQ替换=判死线H2）</t>
  </si>
  <si>
    <t xml:space="preserve">项目</t>
  </si>
  <si>
    <t xml:space="preserve">说明</t>
  </si>
  <si>
    <t xml:space="preserve">档位A:100张</t>
  </si>
  <si>
    <t xml:space="preserve">档位B:500张</t>
  </si>
  <si>
    <t xml:space="preserve">档位C:1000张</t>
  </si>
  <si>
    <t xml:space="preserve">50张POD档(美国本土履约)</t>
  </si>
  <si>
    <t xml:space="preserve">终端售价总价($)</t>
  </si>
  <si>
    <t xml:space="preserve">原型BASE曲线·≈Sticker Mule 9折（压力下限35/60/80见第24行）</t>
  </si>
  <si>
    <t xml:space="preserve">数量(张)</t>
  </si>
  <si>
    <t xml:space="preserve">假设·可改</t>
  </si>
  <si>
    <t xml:space="preserve">终端单价($)</t>
  </si>
  <si>
    <t xml:space="preserve">售价÷数量</t>
  </si>
  <si>
    <t xml:space="preserve">中国采购成本/张($)</t>
  </si>
  <si>
    <t xml:space="preserve">假设·待打样替换（RFQ回填=判死线H2）</t>
  </si>
  <si>
    <t xml:space="preserve">采购/进货成本总($)</t>
  </si>
  <si>
    <t xml:space="preserve">中国档=单张×数量；POD档=4over达标情景进货≤$28.5</t>
  </si>
  <si>
    <t xml:space="preserve">关税率</t>
  </si>
  <si>
    <t xml:space="preserve">基准37.5%(301 25%+回填12.5%)；改0.35=现行情景；POD档无关税</t>
  </si>
  <si>
    <t xml:space="preserve">关税总($)</t>
  </si>
  <si>
    <t xml:space="preserve">采购×税率</t>
  </si>
  <si>
    <t xml:space="preserve">批量运费总($)</t>
  </si>
  <si>
    <t xml:space="preserve">假设·海外仓分摊（仅标准通用SKU；&lt;100张定制单归POD层）</t>
  </si>
  <si>
    <t xml:space="preserve">美国履约总($)</t>
  </si>
  <si>
    <t xml:space="preserve">pick+本土运；POD档履约已含于进货价</t>
  </si>
  <si>
    <t xml:space="preserve">平台支付费率</t>
  </si>
  <si>
    <t xml:space="preserve">零售侧9.5%（采购侧汇率/通道费1–3%已计入采购价口径）</t>
  </si>
  <si>
    <t xml:space="preserve">平台支付费总($)</t>
  </si>
  <si>
    <t xml:space="preserve">售价×费率</t>
  </si>
  <si>
    <t xml:space="preserve">退货损耗率</t>
  </si>
  <si>
    <t xml:space="preserve">假设</t>
  </si>
  <si>
    <t xml:space="preserve">退货损耗总($)</t>
  </si>
  <si>
    <t xml:space="preserve">售价×率</t>
  </si>
  <si>
    <t xml:space="preserve">经营变动成本合计($)</t>
  </si>
  <si>
    <t xml:space="preserve">采购+关税+运费+履约+支付费+退货（不含获客）</t>
  </si>
  <si>
    <t xml:space="preserve">经营净利($)·不含获客</t>
  </si>
  <si>
    <t xml:space="preserve">售价−经营变动成本</t>
  </si>
  <si>
    <t xml:space="preserve">经营净利率</t>
  </si>
  <si>
    <t xml:space="preserve">经营净利÷售价</t>
  </si>
  <si>
    <t xml:space="preserve">首单CAC($)</t>
  </si>
  <si>
    <t xml:space="preserve">C5口径$80–150·取中值115可改</t>
  </si>
  <si>
    <t xml:space="preserve">复购单CAC($)</t>
  </si>
  <si>
    <t xml:space="preserve">复购获客≈0；混合CAC=首单CAC÷期望单数；期望单数=1/(1−复购率)</t>
  </si>
  <si>
    <t xml:space="preserve">首单净利($)·含首单CAC</t>
  </si>
  <si>
    <t xml:space="preserve">经营净利−首单CAC</t>
  </si>
  <si>
    <t xml:space="preserve">首单净利率</t>
  </si>
  <si>
    <t xml:space="preserve">首单净利÷售价</t>
  </si>
  <si>
    <t xml:space="preserve">回本所需累计单数(含首单)</t>
  </si>
  <si>
    <t xml:space="preserve">首单CAC÷经营净利（每复购单贡献≈经营净利）</t>
  </si>
  <si>
    <t xml:space="preserve">压力下限情景</t>
  </si>
  <si>
    <t xml:space="preserve">售价35/60/80→经营净利率≈36%/16%/22%（A5）；POD档StickerGiant零折扣情景毛利≈0</t>
  </si>
  <si>
    <t xml:space="preserve">注</t>
  </si>
  <si>
    <t xml:space="preserve">复购率基准25/32/40%→期望单数1.33/1.47/1.67；回本约需累计2.2–4.2单≈6–13个月（A5）；50张档在H1揭晓前按获客成本科目核算</t>
  </si>
  <si>
    <t xml:space="preserve">白空间论证：TAM/SAM/SOM 与 go/no-go（数据截至 2026-07-02·承重论断经双视角对抗核查）</t>
  </si>
  <si>
    <t xml:space="preserve">一、总判定</t>
  </si>
  <si>
    <t xml:space="preserve">细分</t>
  </si>
  <si>
    <t xml:space="preserve">TAM(年)</t>
  </si>
  <si>
    <t xml:space="preserve">SAM(年)</t>
  </si>
  <si>
    <t xml:space="preserve">新站1-2年SOM(年)</t>
  </si>
  <si>
    <t xml:space="preserve">判定</t>
  </si>
  <si>
    <t xml:space="preserve">一句话理由</t>
  </si>
  <si>
    <t xml:space="preserve">① 环保+食品安全+&lt;100件+自助</t>
  </si>
  <si>
    <t xml:space="preserve">$90万–1,880万（中枢~$450万）</t>
  </si>
  <si>
    <t xml:space="preserve">eco窄段 $15万–470万</t>
  </si>
  <si>
    <t xml:space="preserve">$1万–10万</t>
  </si>
  <si>
    <t xml:space="preserve">楔子卖点（独立立项=KILL）</t>
  </si>
  <si>
    <t xml:space="preserve">真空白=五条件交集（认证可堆肥×FDA直接食品接触×定制×&lt;100张×自助）无人全满足，但天花板太低——是卖点不是市场</t>
  </si>
  <si>
    <t xml:space="preserve">② 微烘焙/咖啡可变数据标签</t>
  </si>
  <si>
    <t xml:space="preserve">$4M–12M</t>
  </si>
  <si>
    <t xml:space="preserve">&lt;100张小单 $2M–3M</t>
  </si>
  <si>
    <t xml:space="preserve">跨境玩家 $0.5M–3M</t>
  </si>
  <si>
    <t xml:space="preserve">KILL</t>
  </si>
  <si>
    <t xml:space="preserve">美国标签侧≥6家无MOQ或50–100张起；烘焙日期装袋当天才定，预印+跨境物流时序物理不可行（在位解法=壳标+热敏补打）</t>
  </si>
  <si>
    <t xml:space="preserve">③ 精酿饮品合规标签</t>
  </si>
  <si>
    <t xml:space="preserve">—（分母收缩：精酿酒厂9,578家 -2.9%、酒庄-3%）</t>
  </si>
  <si>
    <t xml:space="preserve">$3,000万–7,500万</t>
  </si>
  <si>
    <t xml:space="preserve">中国跨境3年 &lt;$100万</t>
  </si>
  <si>
    <t xml:space="preserve">自助方案充分在营（Blue Label等）；轮换补印2–5天 vs 跨境最快5–10天结构性出局；TTB/FDA字段模板并入软件层</t>
  </si>
  <si>
    <t xml:space="preserve">④ 以环保缺口打Sticker Mule</t>
  </si>
  <si>
    <t xml:space="preserve">—（攻角而非市场）</t>
  </si>
  <si>
    <t xml:space="preserve">—</t>
  </si>
  <si>
    <t xml:space="preserve">需求信号弱（对口请求仅137票/7年）；Sticker Mule 2025夏已上线再生纸标签（50张$61、自助、4天）；从中国海运卖环保人设自相矛盾</t>
  </si>
  <si>
    <t xml:space="preserve">二、四个候选切入点的市场事实</t>
  </si>
  <si>
    <t xml:space="preserve">候选切入点</t>
  </si>
  <si>
    <t xml:space="preserve">市场事实</t>
  </si>
  <si>
    <t xml:space="preserve">关键证据</t>
  </si>
  <si>
    <t xml:space="preserve">① 环保+小批量+自助的供给</t>
  </si>
  <si>
    <t xml:space="preserve">宽象限已被占满：Avery WePrint（无起订自助）、StickerYou Eco-Safe（任意数量，明文不可直接接触食品）、Sttark（无件数MOQ，最低订单~$260）、Sticker Mule再生纸标签（50张起自助）、noissue（25张起，无认证）；EcoEnclose 250起。真空白仅剩五条件交集；且全美在证BPI定制胶粘标签为零（Elevate证书≤2024-04失效，全库仅Sinclair水果贴1 SKU）</t>
  </si>
  <si>
    <t xml:space="preserve">各官网产品页实抓 + BPI库API直查（带阳性对照）+ Wayback</t>
  </si>
  <si>
    <t xml:space="preserve">② 咖啡/烘焙小批量标签的供给</t>
  </si>
  <si>
    <t xml:space="preserve">标签侧≥6家美国厂无MOQ或50–100张起（Sttark/Blue Label(原生批次号)/Avery/Roastar/OnlineLabels/Sticker Mule咖啡标签50张）；~3,000件起订属于定制咖啡袋（数码200–2,000）非标签；烘焙日期由店内热敏补打（$0.005–0.031/张），上量转Epson按需彩打</t>
  </si>
  <si>
    <t xml:space="preserve">MTPak MOQ指南 + 各厂官网 + Temecula 17,000 SKU实证</t>
  </si>
  <si>
    <t xml:space="preserve">③ 精酿合规标签的供给</t>
  </si>
  <si>
    <t xml:space="preserve">自助方案充分：Blue Label（无MOQ+自助门户+5天+1,500家酒厂）、StickerGiant（125张/2–5天）、Sttark（即时报价；Frontier=Sttark 2022-08更名同一家）；湿强/冰桶材料自助可得（Avery Estate #8 $0.297/张）；taproom州内SKU依法不需要COLA——合规痛点与高频轮换指向两批不重叠订单</t>
  </si>
  <si>
    <t xml:space="preserve">各官网 + 27 CFR / colacloud / PRNewswire</t>
  </si>
  <si>
    <t xml:space="preserve">④ Sticker Mule的环保需求信号</t>
  </si>
  <si>
    <t xml:space="preserve">Canny 382票请求（2019起）主题是环保运输包装（邮寄袋）非贴纸产品；对口"Compostable labels"仅137票/7年（≈20票/年，相对780万注册用户≈0.005%）；其2025夏已上线100%再生纸+FSC标签——头部跟进周期实证≤1年</t>
  </si>
  <si>
    <t xml:space="preserve">Canny原帖 + Wayback三快照 + 官方博客</t>
  </si>
  <si>
    <t xml:space="preserve">三、关键参数（当前口径）</t>
  </si>
  <si>
    <t xml:space="preserve">参数</t>
  </si>
  <si>
    <t xml:space="preserve">当前值</t>
  </si>
  <si>
    <t xml:space="preserve">依据</t>
  </si>
  <si>
    <t xml:space="preserve">对华贴纸有效关税</t>
  </si>
  <si>
    <t xml:space="preserve">现行~35%（HTS 4821.10 MFN 0% + 301 List3 25% + 122条款10%）；基准情景37.5%——USTR已于2026-06-05正式提议+12.5%回填（FR 2026-11296，07-24揭晓），25%仅理论窗口</t>
  </si>
  <si>
    <t xml:space="preserve">USITC税则库直查 + Federal Register</t>
  </si>
  <si>
    <t xml:space="preserve">细分①单客标签支出</t>
  </si>
  <si>
    <t xml:space="preserve">付费率10–25% × 付费者$30–150/年（中位$60–80）</t>
  </si>
  <si>
    <t xml:space="preserve">IJ《Flour Power》n=775：中位年销$2,000/中位利润$500；r/cottagebakery 6:1偏DIY自印；Etsy细分年GMV仅$1–3M</t>
  </si>
  <si>
    <t xml:space="preserve">细分① TAM</t>
  </si>
  <si>
    <t xml:space="preserve">$90万–1,880万/年（中枢~$450万）</t>
  </si>
  <si>
    <t xml:space="preserve">注册口径池10万–20万家 × 付费率 × 支出（自底向上）</t>
  </si>
  <si>
    <t xml:space="preserve">中国批量返单通道</t>
  </si>
  <si>
    <t xml:space="preserve">空运：账面优势37–49%@500–1万张（EXW系橱窗价未经RFQ，实报价高2倍则缩至10–25%）；海运LCL≤1万张到岸反超美国本土35%，拐点≥~5万张/票；对美国低价带拐点约1,500–2,000张</t>
  </si>
  <si>
    <t xml:space="preserve">对标Sttark实测报价$335/$383/$648（3寸圆500/2,000/10,000张）</t>
  </si>
  <si>
    <t xml:space="preserve">热敏打印机价位（在位替代成本）</t>
  </si>
  <si>
    <t xml:space="preserve">迷你蓝牙机$19–36、4x6级$76–230、Zebra ZD421 $471–814、彩色按需Epson CW-C4000 ~$2,492；热敏日期补打$0.005–0.031/张</t>
  </si>
  <si>
    <t xml:space="preserve">实价核查（多渠道比价）</t>
  </si>
  <si>
    <t xml:space="preserve">Sttark（=Frontier）</t>
  </si>
  <si>
    <t xml:space="preserve">Kraft为100%再生纸（50%PCW）、可堆肥系无认证自称；最低订单~$260；Frontier 2022-08更名为Sttark同一家</t>
  </si>
  <si>
    <t xml:space="preserve">Sttark FAQ实抓 + PRNewswire</t>
  </si>
  <si>
    <t xml:space="preserve">BPI认证可堆肥标签现状</t>
  </si>
  <si>
    <t xml:space="preserve">全美在证BPI定制胶粘标签为零（全库仅Sinclair水果贴1 SKU）；Elevate证书≤2024-04失效、弃证两年生意照常→"认证"可能是伪需求，先声称试卖后认证投入</t>
  </si>
  <si>
    <t xml:space="preserve">BPI官方库API直查 + Wayback</t>
  </si>
  <si>
    <t xml:space="preserve">美国POD白牌毛利</t>
  </si>
  <si>
    <t xml:space="preserve">125张档零售锚~$78，40%毛利需进货≤$47——公开条款下无一家达标（可核实上限33–34%@250张）；4over实价锁登录墙，注册验证是go/no-go前置待办</t>
  </si>
  <si>
    <t xml:space="preserve">7家白牌候选逐家核查</t>
  </si>
  <si>
    <t xml:space="preserve">四、仍开放的缺口（下一轮补强）</t>
  </si>
  <si>
    <t xml:space="preserve">软件层竞品扫描未做：ReciPal / Food Label Maker / LabelCalc / ColaCloud / Sovos ShipCompliant / Avery-Canva模板生态——若软件缺口同样被填，三层拓扑顶层逻辑需再核</t>
  </si>
  <si>
    <t xml:space="preserve">替代方向零量化：Vograce式特材赛道（亚克力/镭射/滴胶）或1,500–5,000张中批量装饰标签——立项前需同强度测算</t>
  </si>
  <si>
    <t xml:space="preserve">搜索量口径薄弱：仅Google头部词+免费工具（5核心词美国月搜索仅30–420次），未覆盖Etsy/Amazon站内搜索与长尾词群</t>
  </si>
  <si>
    <t xml:space="preserve">中国侧真实RFQ未闭环：EXW为橱窗价推算——启用中国层的硬前提</t>
  </si>
  <si>
    <t xml:space="preserve">五、22天内待办（关税窗口+双侧报价闭环）</t>
  </si>
  <si>
    <t xml:space="preserve">07-06 USTR评论截止 / 07-07听证 / 07-24 122条款到期、关税落点揭晓——统一重算跨境成本，压力测试按35%→37.5%，不设25%乐观情景</t>
  </si>
  <si>
    <t xml:space="preserve">注册4over经销账户（需美国转售证书）拿卷标/贴纸实价——美国侧唯一go/no-go未知数</t>
  </si>
  <si>
    <t xml:space="preserve">向Stickerhome/Singhong发首轮真实RFQ（3寸圆+哑膜，500/2,000/10,000张三档）——闭环中国侧EXW假设</t>
  </si>
  <si>
    <t xml:space="preserve">邮件确认Blue Label / OnlineLabels / Lightning Labels / Smartpress的trade折扣与盲发条款</t>
  </si>
  <si>
    <t xml:space="preserve">供应商 shortlist（12家·已逐个独立核实存在性 2026-06-26；按可核实英文名+域名定位；中文名仅保留已证实者）</t>
  </si>
  <si>
    <t xml:space="preserve">公司(可核名)</t>
  </si>
  <si>
    <t xml:space="preserve">网站/Alibaba(可直达)</t>
  </si>
  <si>
    <t xml:space="preserve">所在地</t>
  </si>
  <si>
    <t xml:space="preserve">MOQ</t>
  </si>
  <si>
    <t xml:space="preserve">挂牌报价</t>
  </si>
  <si>
    <t xml:space="preserve">材质/工艺</t>
  </si>
  <si>
    <t xml:space="preserve">打样</t>
  </si>
  <si>
    <t xml:space="preserve">认证(均自报待核)</t>
  </si>
  <si>
    <t xml:space="preserve">邮箱/电话</t>
  </si>
  <si>
    <t xml:space="preserve">核查状态</t>
  </si>
  <si>
    <t xml:space="preserve">评估分</t>
  </si>
  <si>
    <t xml:space="preserve">hxcustomlabel</t>
  </si>
  <si>
    <t xml:space="preserve">hxcustomlabel.com</t>
  </si>
  <si>
    <t xml:space="preserve">深圳宝安</t>
  </si>
  <si>
    <t xml:space="preserve">无MOQ</t>
  </si>
  <si>
    <t xml:space="preserve">2″/500张约$0.12/张</t>
  </si>
  <si>
    <t xml:space="preserve">3M vinyl/防水防UV</t>
  </si>
  <si>
    <t xml:space="preserve">24h电子稿/免费样</t>
  </si>
  <si>
    <t xml:space="preserve">多证(待核名)</t>
  </si>
  <si>
    <t xml:space="preserve">mandy@hxcustomlabel.com</t>
  </si>
  <si>
    <t xml:space="preserve">✅站真实·贴纸厂·邮箱可核</t>
  </si>
  <si>
    <t xml:space="preserve">Canfei Packing</t>
  </si>
  <si>
    <t xml:space="preserve">canfeicn.com</t>
  </si>
  <si>
    <t xml:space="preserve">深圳龙岗</t>
  </si>
  <si>
    <t xml:space="preserve">小量可接</t>
  </si>
  <si>
    <t xml:space="preserve">定制样$100抵货款</t>
  </si>
  <si>
    <t xml:space="preserve">全息/防伪/刮刮/UV荧光</t>
  </si>
  <si>
    <t xml:space="preserve">免费电子样</t>
  </si>
  <si>
    <t xml:space="preserve">—</t>
  </si>
  <si>
    <t xml:space="preserve">sophie@canfeicn.com</t>
  </si>
  <si>
    <t xml:space="preserve">✅站真实·全息防伪专精</t>
  </si>
  <si>
    <t xml:space="preserve">Best4U</t>
  </si>
  <si>
    <t xml:space="preserve">best4u-tech.com</t>
  </si>
  <si>
    <t xml:space="preserve">深圳龙岗坂田</t>
  </si>
  <si>
    <t xml:space="preserve">$0.01-0.10(区间引用)</t>
  </si>
  <si>
    <t xml:space="preserve">PVC/PET/合成纸/BOPP/牛皮</t>
  </si>
  <si>
    <t xml:space="preserve">免费样</t>
  </si>
  <si>
    <t xml:space="preserve">emily@best4u-tech.com</t>
  </si>
  <si>
    <t xml:space="preserve">✅站真实·材质最全·2026-07-04核实FAQ"we have a professional design team to assist"=有专职设计团队(JPG转矢量复杂图收费)，是12家里证据最明确的一家</t>
  </si>
  <si>
    <t xml:space="preserve">Shanghai Yucai</t>
  </si>
  <si>
    <t xml:space="preserve">yucai-printing.com</t>
  </si>
  <si>
    <t xml:space="preserve">上海闵行</t>
  </si>
  <si>
    <t xml:space="preserve">$0.009-0.028(疑噱头)</t>
  </si>
  <si>
    <t xml:space="preserve">PVC vinyl/透明/全息</t>
  </si>
  <si>
    <t xml:space="preserve">现货样免费</t>
  </si>
  <si>
    <t xml:space="preserve">待核</t>
  </si>
  <si>
    <t xml:space="preserve">sales@yucai-printing.com</t>
  </si>
  <si>
    <t xml:space="preserve">✅站真实;但$0.009覆不住成本·沪深多个"宇才"勿混</t>
  </si>
  <si>
    <t xml:space="preserve">Stickers Manufacturer</t>
  </si>
  <si>
    <t xml:space="preserve">stickersmanufacturer.com</t>
  </si>
  <si>
    <t xml:space="preserve">询价(声称低30-50%)</t>
  </si>
  <si>
    <t xml:space="preserve">工业vinyl/clear/全息/HP Indigo</t>
  </si>
  <si>
    <t xml:space="preserve">免费审稿+电子样</t>
  </si>
  <si>
    <t xml:space="preserve">无认证</t>
  </si>
  <si>
    <t xml:space="preserve">sales@stickersmanufacturer.com / +86 13267122619</t>
  </si>
  <si>
    <t xml:space="preserve">✅站真实·纯贴纸厂·无第三方认证</t>
  </si>
  <si>
    <t xml:space="preserve">Huaxinmei</t>
  </si>
  <si>
    <t xml:space="preserve">hxmpackge.com (注意少一个a)</t>
  </si>
  <si>
    <t xml:space="preserve">深圳龙华</t>
  </si>
  <si>
    <t xml:space="preserve">$0.06-0.30/张</t>
  </si>
  <si>
    <t xml:space="preserve">vinyl/die-cut/全息/BOPP/烫金</t>
  </si>
  <si>
    <t xml:space="preserve">ISO9001/14001+FSC+FDA(自报)</t>
  </si>
  <si>
    <t xml:space="preserve">hxmdlz@hxmpackage.com / +86 18680366752</t>
  </si>
  <si>
    <t xml:space="preserve">⚠️站真实;原域名hxmpackage.com SSL失效→改用hxmpackge.com·2026-07-04核实FAQ确认可协助无设计客户("contact us if you need any assistance on the design")=工厂内部协助非外包</t>
  </si>
  <si>
    <t xml:space="preserve">YYOYIART</t>
  </si>
  <si>
    <t xml:space="preserve">yyoyiart.com</t>
  </si>
  <si>
    <t xml:space="preserve">东莞大岭山</t>
  </si>
  <si>
    <t xml:space="preserve">25-50(最低)</t>
  </si>
  <si>
    <t xml:space="preserve">询价(小单价低)</t>
  </si>
  <si>
    <t xml:space="preserve">纸/vinyl/全息/和纸/可降解</t>
  </si>
  <si>
    <t xml:space="preserve">免费电子稿</t>
  </si>
  <si>
    <t xml:space="preserve">ISO自述</t>
  </si>
  <si>
    <t xml:space="preserve">customcrafts@yyoyiart.com</t>
  </si>
  <si>
    <t xml:space="preserve">⚠️站&amp;厂真实;原"东莞友益艺"中文名系臆造→请按"YYOYIART"搜</t>
  </si>
  <si>
    <t xml:space="preserve">Gathe</t>
  </si>
  <si>
    <t xml:space="preserve">hkgathe.com / giftpackagebox.com</t>
  </si>
  <si>
    <t xml:space="preserve">深圳龙华(非龙岗)</t>
  </si>
  <si>
    <t xml:space="preserve">声称$0.05-0.24;实测$0.42-0.96</t>
  </si>
  <si>
    <t xml:space="preserve">全息die-cut/礼盒/标签</t>
  </si>
  <si>
    <t xml:space="preserve">FSC+德国EPR</t>
  </si>
  <si>
    <t xml:space="preserve">gathe-service06@hkgathe.com</t>
  </si>
  <si>
    <t xml:space="preserve">⚠️站真实;地址应为龙华·价格实测2-4倍·主业包装盒</t>
  </si>
  <si>
    <t xml:space="preserve">Stickerhome</t>
  </si>
  <si>
    <t xml:space="preserve">Alibaba: zssinghong.en.alibaba.com</t>
  </si>
  <si>
    <t xml:space="preserve">中山</t>
  </si>
  <si>
    <t xml:space="preserve">$0.019-0.093/张</t>
  </si>
  <si>
    <t xml:space="preserve">防水vinyl die-cut</t>
  </si>
  <si>
    <t xml:space="preserve">FSC/ISO(UL存疑)</t>
  </si>
  <si>
    <t xml:space="preserve">仅Alibaba站内</t>
  </si>
  <si>
    <t xml:space="preserve">⚠️Alibaba店真实(名Stickerhome</t>
  </si>
  <si>
    <t xml:space="preserve">ltd);"中山星宏"中文名未证实</t>
  </si>
  <si>
    <t xml:space="preserve">Shenzhen Yucai Packing</t>
  </si>
  <si>
    <t xml:space="preserve">Alibaba: szyucai88.en.alibaba.com</t>
  </si>
  <si>
    <t xml:space="preserve">深圳</t>
  </si>
  <si>
    <t xml:space="preserve">50-500</t>
  </si>
  <si>
    <t xml:space="preserve">询价</t>
  </si>
  <si>
    <t xml:space="preserve">彩印贴纸/吊牌/树脂Dome</t>
  </si>
  <si>
    <t xml:space="preserve">声称100%准时</t>
  </si>
  <si>
    <t xml:space="preserve">⚠️Alibaba店真实;与上海宇才勿混</t>
  </si>
  <si>
    <t xml:space="preserve">BookPrintingChina</t>
  </si>
  <si>
    <t xml:space="preserve">bookprintingchina.com</t>
  </si>
  <si>
    <t xml:space="preserve">广州海珠</t>
  </si>
  <si>
    <t xml:space="preserve">询价(声称低30-40%)</t>
  </si>
  <si>
    <t xml:space="preserve">PVC/PE/铜版/牛皮</t>
  </si>
  <si>
    <t xml:space="preserve">打样费抵货款/3-5天</t>
  </si>
  <si>
    <t xml:space="preserve">ISO9001/14001+FSC+BSCI+SMETA+G7</t>
  </si>
  <si>
    <t xml:space="preserve">sales@bookprintingchina.com / WhatsApp +8615113794090</t>
  </si>
  <si>
    <t xml:space="preserve">⚠️站真实·认证最全;但主业图书印刷·"广州腾龙"中文名未证实·2026-07-04核实FAQ明确否认"No</t>
  </si>
  <si>
    <t xml:space="preserve"> we don't provide in-house design services"仅prepress团队做免费文件检查·12家中唯一正面否认设计协助的</t>
  </si>
  <si>
    <t xml:space="preserve">Jabay</t>
  </si>
  <si>
    <t xml:space="preserve">jabaygames.com</t>
  </si>
  <si>
    <t xml:space="preserve">宁波</t>
  </si>
  <si>
    <t xml:space="preserve">纸/PVC/PET/泡泡/全息/烫金</t>
  </si>
  <si>
    <t xml:space="preserve">原型样+出货样</t>
  </si>
  <si>
    <t xml:space="preserve">BSCI+FSC+Disney+Walmart审计</t>
  </si>
  <si>
    <t xml:space="preserve">官网询价(无公开邮箱)</t>
  </si>
  <si>
    <t xml:space="preserve">⚠️站真实但主业拼图/桌游·贴纸非专项</t>
  </si>
  <si>
    <t xml:space="preserve">首批发盘（2026-07-02 资质实核后）：Stickerhome/中山Singhong（唯一直接进RFQ池，索营业执照+TÜV报告）；有条件：华鑫美（先交FSC-C编号+FDA迁移报告号+Indigo序列号照片）；合规重客户备选：BookPrintingChina——逐家匹配与美国POD白牌候选见「供应商×白空间匹配」页</t>
  </si>
  <si>
    <t xml:space="preserve">注:所有公司均已确认网站可访问;但 ①报价/认证须索PI+证书号(FSC官网info.fsc.org可查) ②必须打样验证 ③Jabay/BookPrintingChina主业非贴纸</t>
  </si>
  <si>
    <t xml:space="preserve">评分维度(满分100;≥75优先发盘打样/55-74候补补尽调/&lt;55谨慎)</t>
  </si>
  <si>
    <t xml:space="preserve">权重</t>
  </si>
  <si>
    <t xml:space="preserve">评分标准</t>
  </si>
  <si>
    <t xml:space="preserve">认证合规</t>
  </si>
  <si>
    <t xml:space="preserve">ISO9001=5/FSC·BSCI·SMETA各3/FDA·RoHS·REACH各2/Disney·Walmart各2</t>
  </si>
  <si>
    <t xml:space="preserve">MOQ匹配度</t>
  </si>
  <si>
    <t xml:space="preserve">≤100=15/101-300=10/301-500=7/&gt;500=4</t>
  </si>
  <si>
    <t xml:space="preserve">报价透明度</t>
  </si>
  <si>
    <t xml:space="preserve">公开量价表=15/24h报价=10/仅区间=5/无=0</t>
  </si>
  <si>
    <t xml:space="preserve">打样政策</t>
  </si>
  <si>
    <t xml:space="preserve">免费样=10/&lt;$50抵扣=7/$50-100=5/无=0</t>
  </si>
  <si>
    <t xml:space="preserve">平台信用</t>
  </si>
  <si>
    <t xml:space="preserve">Gold/Verified≥5年+评分≥4.8+评价≥50=10</t>
  </si>
  <si>
    <t xml:space="preserve">跨境出口经验</t>
  </si>
  <si>
    <t xml:space="preserve">美国客户案例+快递合作+英文流利=10</t>
  </si>
  <si>
    <t xml:space="preserve">风险减分</t>
  </si>
  <si>
    <t xml:space="preserve">成立&lt;3年/无认证/联系不全/主业非贴纸</t>
  </si>
  <si>
    <t xml:space="preserve">扩充池（2026-07-03 线上初筛·24 家：PASS 13 / UNCERTAIN 11 / FAIL 0·全部须过阶段 2 全筛后方可发盘；初筛三项=站点可达+主业一致+红旗扫查，未做域名年龄/提单/认证库核验——分数与上方实核 12 家不可直接对比）</t>
  </si>
  <si>
    <t xml:space="preserve">公司</t>
  </si>
  <si>
    <t xml:space="preserve">网站</t>
  </si>
  <si>
    <t xml:space="preserve">材质工艺</t>
  </si>
  <si>
    <t xml:space="preserve">认证自报</t>
  </si>
  <si>
    <t xml:space="preserve">邮箱电话</t>
  </si>
  <si>
    <t xml:space="preserve">Heng Li Label Printing（烟台·1986创1999注册·亨利/源臻双主体）</t>
  </si>
  <si>
    <t xml:space="preserve">henglilabel.com·MIC店yuanzhenlabel</t>
  </si>
  <si>
    <t xml:space="preserve">山东烟台福山区盈福路34号</t>
  </si>
  <si>
    <t xml:space="preserve">100件（产品页实见·MIC档案写1件以产品页为准）</t>
  </si>
  <si>
    <t xml:space="preserve">有公开阶梯价·唇膏标$0.40(100件档)递减至$0.01(5000+档)</t>
  </si>
  <si>
    <t xml:space="preserve">不干胶纸·PET·珠光膜·铜版纸·镭射BOPP·模内/收缩/防伪/RFID标·ESKO CDI实见</t>
  </si>
  <si>
    <t xml:space="preserve">未见成文打样政策·MOQ100可小批试单</t>
  </si>
  <si>
    <t xml:space="preserve">ISO9001:2015/ISO14001无编号·食品级FDA/GMP/EU为listing自述·MIC钻石2024+SGS平台审核</t>
  </si>
  <si>
    <t xml:space="preserve">general@henglilabel.com·+86-535-2130213（固话）</t>
  </si>
  <si>
    <t xml:space="preserve">✅PASS·线上初筛·官网+固话+SGS审核可核·双主体需确认签约法人·2026-07-04核实官网独立"设计制版"栏目("从标签各个细节到整体规划提供全套设计服务")+Esko CDI4835/杜邦Fast制版设备=工厂制版车间内置服务</t>
  </si>
  <si>
    <t xml:space="preserve">Guangzhou Label Printing（广州·法定中文名仅见快照）</t>
  </si>
  <si>
    <t xml:space="preserve">gzlabel.en.made-in-china.com·guangzhoulabel.com</t>
  </si>
  <si>
    <t xml:space="preserve">广州南沙区</t>
  </si>
  <si>
    <t xml:space="preserve">1件至10万件按产品（快照证实）</t>
  </si>
  <si>
    <t xml:space="preserve">候选称FOB $0.01–0.07/pc·本轮验证码墙未页面实见</t>
  </si>
  <si>
    <t xml:space="preserve">自粘/湿胶/收缩套标·防水标·PET透明·vinyl·压纹铝标·烫印·主打食品饮料日化</t>
  </si>
  <si>
    <t xml:space="preserve">未见公开打样政策</t>
  </si>
  <si>
    <t xml:space="preserve">MIC钻石会员2021起+Audited Supplier·SGS/ISO9001字样无编号·TUV审核方未证实</t>
  </si>
  <si>
    <t xml:space="preserve">sales@guangzhoulabel.com·+86-134-1322-3940（电话/WhatsApp/微信）·联系人Phoenix</t>
  </si>
  <si>
    <t xml:space="preserve">✅PASS·线上初筛·MIC档案+快照互证·产能/人数两套口径待询盘核·2026-07-04核实产品页"Art team can draw designs according to your requirements"+OEM/ODM accepted=自有美工团队</t>
  </si>
  <si>
    <t xml:space="preserve">Shenzhen Dir Printing &amp; Packaging（深圳迪尔印刷包装）</t>
  </si>
  <si>
    <t xml:space="preserve">dirprinting.en.alibaba.com·goldsupplier静态资料页</t>
  </si>
  <si>
    <t xml:space="preserve">深圳龙岗坂田上雪科技园</t>
  </si>
  <si>
    <t xml:space="preserve">1–1000件视产品（页面实见）</t>
  </si>
  <si>
    <t xml:space="preserve">FOB $0.01–0.50/pc阶梯价实见（下限为引流价）</t>
  </si>
  <si>
    <t xml:space="preserve">乙烯基/PVC/PET/BOPP/纸不干胶·透明/全息/防伪/烫金/食品/酒标·6色UV轮转+10色柔印宣称</t>
  </si>
  <si>
    <t xml:space="preserve">未见成文政策·MOQ低至1件可样单试水</t>
  </si>
  <si>
    <t xml:space="preserve">Alibaba Onsite Check实地认证+金品8年·无ISO/FSC等第三方编号</t>
  </si>
  <si>
    <t xml:space="preserve">联系人Allen Di·仅Alibaba站内询盘（无直连邮箱）</t>
  </si>
  <si>
    <t xml:space="preserve">✅PASS·线上初筛·静态资料页完整可核·多分店需确认同一法人</t>
  </si>
  <si>
    <t xml:space="preserve">Shenzhen Zolo Packaging Technology（深圳ZOLO防伪标签）</t>
  </si>
  <si>
    <t xml:space="preserve">voidmaterial.com·GlobalSources厂商主页</t>
  </si>
  <si>
    <t xml:space="preserve">深圳宝安区兴业路宝安互联网产业基地A栋206</t>
  </si>
  <si>
    <t xml:space="preserve">全息贴纸1万张·VOID材料100㎡·部分1张起（GS页实见）</t>
  </si>
  <si>
    <t xml:space="preserve">全息$0.015–0.02/张·VOID纸$2.15–2.68/㎡·安全胶带$2.10–2.50/㎡（实见）</t>
  </si>
  <si>
    <t xml:space="preserve">VOID防拆/全息/蛋壳易碎纸/聚酰亚胺耐高温/水敏纸/可降解标签/安全胶带</t>
  </si>
  <si>
    <t xml:space="preserve">未见成文政策</t>
  </si>
  <si>
    <t xml:space="preserve">ISO9001:2015+REACH仅证书图无编号·GS入驻仅1年</t>
  </si>
  <si>
    <t xml:space="preserve">zolopackaging@outlook.com（免费邮箱）·+86-755-2350-0552</t>
  </si>
  <si>
    <t xml:space="preserve">✅PASS·线上初筛·独立站+展会+LinkedIn互证·年份口径不一记扣分</t>
  </si>
  <si>
    <t xml:space="preserve">Zhongshan Panda Packing（中山熊猫包装）</t>
  </si>
  <si>
    <t xml:space="preserve">cnpandapack.en.alibaba.com（被反爬）·pandaprint.en.alibaba.com可达</t>
  </si>
  <si>
    <t xml:space="preserve">广东中山</t>
  </si>
  <si>
    <t xml:space="preserve">500件（搜索索引+第三方页三方可核）</t>
  </si>
  <si>
    <t xml:space="preserve">$0.01–0.30/pc（低端为引流价·第三方实见≈$0.011/pc）</t>
  </si>
  <si>
    <t xml:space="preserve">纸/vinyl模切·全息·热敏·酒标条码标·自称6台HP Indigo数码+环保油墨</t>
  </si>
  <si>
    <t xml:space="preserve">FSC材料/RoHS产品页宣称无编号·Trade Assurance间接佐证</t>
  </si>
  <si>
    <t xml:space="preserve">仅Alibaba站内询盘（双店铺需确认主账号）</t>
  </si>
  <si>
    <t xml:space="preserve">✅PASS·线上初筛·主URL反爬未直见·靠索引+第三方页间接核</t>
  </si>
  <si>
    <t xml:space="preserve">Shenzhen ZHK Technology</t>
  </si>
  <si>
    <t xml:space="preserve">stickers.en.made-in-china.com（验证码墙）</t>
  </si>
  <si>
    <t xml:space="preserve">深圳光明区公明街道</t>
  </si>
  <si>
    <t xml:space="preserve">500件（候选口径·店内页未复核）</t>
  </si>
  <si>
    <t xml:space="preserve">FOB $0.01–0.1/pc（候选口径·下限引流价贴近成本线）</t>
  </si>
  <si>
    <t xml:space="preserve">die/kiss-cut·全息·3D滴胶·卷标·收缩套标·HP Indigo 6800/6K/6900+Domino宣称</t>
  </si>
  <si>
    <t xml:space="preserve">宣称72小时打样</t>
  </si>
  <si>
    <t xml:space="preserve">ISO9001/ISO14001/GMP仅文字宣称无编号</t>
  </si>
  <si>
    <t xml:space="preserve">联系人Mrs. Trish·仅MIC站内询盘</t>
  </si>
  <si>
    <t xml:space="preserve">⚠️UNCERTAIN·线上初筛·成立年份三口径矛盾(1997/2016/2023)·店内页被拦未直核</t>
  </si>
  <si>
    <t xml:space="preserve">Dongguan City Junye Printing（东莞Junye）</t>
  </si>
  <si>
    <t xml:space="preserve">junyelabel.en.made-in-china.com（Alibaba姊妹店已404）</t>
  </si>
  <si>
    <t xml:space="preserve">东莞东城区下桥银岭工业区</t>
  </si>
  <si>
    <t xml:space="preserve">标签1000件·3D滴胶100件（页面实见）</t>
  </si>
  <si>
    <t xml:space="preserve">标签$0.01–0.02/pc·滴胶$0.03–0.28/pc·挂牌件$0.15–5/pc（页面实见）</t>
  </si>
  <si>
    <t xml:space="preserve">印刷标签·自粘贴纸·瓶标·挂牌·彩盒·轮转+胶印1-12色·未列数码机</t>
  </si>
  <si>
    <t xml:space="preserve">未见成文政策·3D滴胶MOQ100可小批</t>
  </si>
  <si>
    <t xml:space="preserve">ISO9001/FSC仅文字自述无编号·无审计/会员徽章</t>
  </si>
  <si>
    <t xml:space="preserve">联系人Jack Zhou·电话需登录MIC后可见</t>
  </si>
  <si>
    <t xml:space="preserve">✅PASS·线上初筛·MOQ报价页面实见·产能数字自相矛盾记扣分</t>
  </si>
  <si>
    <t xml:space="preserve">Guangzhou Jinfeng Paper（广州从化）</t>
  </si>
  <si>
    <t xml:space="preserve">gzjinfeng1.en.made-in-china.com</t>
  </si>
  <si>
    <t xml:space="preserve">广州从化区</t>
  </si>
  <si>
    <t xml:space="preserve">贴纸卷50卷起·标签100卷起·按张1000张起（实见）</t>
  </si>
  <si>
    <t xml:space="preserve">贴纸卷$0.76–0.86/卷·按张$0.001–0.1/pc（区间过宽·低端破成本线存疑）</t>
  </si>
  <si>
    <t xml:space="preserve">PVC/Vinyl/纸/PET不干胶+热敏纸/无碳纸/A4纸·雪茄环·酒标铝箔</t>
  </si>
  <si>
    <t xml:space="preserve">未见</t>
  </si>
  <si>
    <t xml:space="preserve">ISO9001:2008旧版证书图无编号（2018年已作废）·MIC金牌2022+Audited(SGS)</t>
  </si>
  <si>
    <t xml:space="preserve">联系人Mr. Fill（疑占位名）·仅MIC站内询盘</t>
  </si>
  <si>
    <t xml:space="preserve">⚠️UNCERTAIN·线上初筛·店真实但ISO为作废旧版·$0.001低端价存疑</t>
  </si>
  <si>
    <t xml:space="preserve">Dongguan Hengping Industry（东莞恒平）</t>
  </si>
  <si>
    <t xml:space="preserve">hengping-industry.com·Alibaba店hengpingindustry</t>
  </si>
  <si>
    <t xml:space="preserve">东莞石碣镇（官网地址为写字楼Room 1212·厂址未披露）</t>
  </si>
  <si>
    <t xml:space="preserve">无最低起订量（官网明示）</t>
  </si>
  <si>
    <t xml:space="preserve">未挂牌·询盘报价制</t>
  </si>
  <si>
    <t xml:space="preserve">不干胶/收缩膜/PET/PVC/PC标签·8台HP 6K数码机·实际主打电子医疗汽车工业标签</t>
  </si>
  <si>
    <t xml:space="preserve">无MOQ门槛·未见成文政策</t>
  </si>
  <si>
    <t xml:space="preserve">ISO9001/ISO14001无编号·SGS/RoHS/REACH测试宣称·无FDA食品接触自报</t>
  </si>
  <si>
    <t xml:space="preserve">+86-15019160502（电话/WhatsApp/微信）·站内邮箱被脱敏未取到</t>
  </si>
  <si>
    <t xml:space="preserve">⚠️UNCERTAIN·线上初筛·food-grade类目错配（实偏工业标签）·FDA缺口未清</t>
  </si>
  <si>
    <t xml:space="preserve">Guangzhou Topcheer Printing（广州拓志/全奇）</t>
  </si>
  <si>
    <t xml:space="preserve">quanqicardprinting.en.alibaba.com</t>
  </si>
  <si>
    <t xml:space="preserve">广州</t>
  </si>
  <si>
    <t xml:space="preserve">100件（搜索摘要佐证·未页面实见）</t>
  </si>
  <si>
    <t xml:space="preserve">$0.01–0.39/pc（与摘要一致·未页面实见）</t>
  </si>
  <si>
    <t xml:space="preserve">Warranty/VOID标·全息激光标·防伪贴·另有扑克塔罗卡牌印刷线</t>
  </si>
  <si>
    <t xml:space="preserve">仅Alibaba Verified Supplier（约1年）·无编号级认证·Top1%属卡牌类目</t>
  </si>
  <si>
    <t xml:space="preserve">仅Alibaba站内询盘</t>
  </si>
  <si>
    <t xml:space="preserve">⚠️UNCERTAIN·线上初筛·疑卡牌厂转型·同名旧店已404·主业存疑</t>
  </si>
  <si>
    <t xml:space="preserve">Dongguan Lingdu Printing（东莞市零度印刷包装制品）</t>
  </si>
  <si>
    <t xml:space="preserve">lingduyinshua.en.alibaba.com·1688同名中文主体9年</t>
  </si>
  <si>
    <t xml:space="preserve">东莞</t>
  </si>
  <si>
    <t xml:space="preserve">常见500件·部分SKU低至2–20件</t>
  </si>
  <si>
    <t xml:space="preserve">约$0.05/pc防水标·大批量PVC卷标$0.01–0.03（索引摘要·无页面实价）</t>
  </si>
  <si>
    <t xml:space="preserve">PVC vinyl防水·die/kiss-cut·反光/全息·摘要称有植物基胶可降解选项</t>
  </si>
  <si>
    <t xml:space="preserve">零认证展示·仅1688平台工厂认证标（非质量/环保认证）</t>
  </si>
  <si>
    <t xml:space="preserve">仅Alibaba站内询盘（无官网/邮箱）</t>
  </si>
  <si>
    <t xml:space="preserve">✅PASS·线上初筛·1688中文主体互证·JS防抓仅索引核·复购率&lt;15%注意</t>
  </si>
  <si>
    <t xml:space="preserve">Dongguan Caihe Printing（东莞彩合印刷）</t>
  </si>
  <si>
    <t xml:space="preserve">13929431413.en.alibaba.com</t>
  </si>
  <si>
    <t xml:space="preserve">东莞塘厦镇（注册地址为Room 201）</t>
  </si>
  <si>
    <t xml:space="preserve">宣称低至30件（仅搜索摘要）</t>
  </si>
  <si>
    <t xml:space="preserve">无挂牌·第三方称&lt;$0.05/unit量产价</t>
  </si>
  <si>
    <t xml:space="preserve">vinyl户外/纸质室内贴纸·全息处理·无毒可移胶（均来自摘要）</t>
  </si>
  <si>
    <t xml:space="preserve">12步QC/99.98%无缺陷为营销话术·verified仅摘要·「$1.2B营收」矛盾宣称</t>
  </si>
  <si>
    <t xml:space="preserve">仅Alibaba站内询盘·子域名即手机号13929431413</t>
  </si>
  <si>
    <t xml:space="preserve">⚠️UNCERTAIN·线上初筛·关键字段JS墙未实见·聚合器夸大文案矛盾</t>
  </si>
  <si>
    <t xml:space="preserve">Guangzhou Chaoya Printing Technology（广州超雅/Charmza）</t>
  </si>
  <si>
    <t xml:space="preserve">charmzalabel.en.alibaba.com·独立站charmzalabel.com证书过期</t>
  </si>
  <si>
    <t xml:space="preserve">广州（TradeWheel登记东莞长安镇）</t>
  </si>
  <si>
    <t xml:space="preserve">100件与500件两个口径并存·需询盘确认</t>
  </si>
  <si>
    <t xml:space="preserve">无挂牌·生产3-5工作日（摘要）</t>
  </si>
  <si>
    <t xml:space="preserve">die/kiss-cut·washi tape·烫金标·酒标·食品化妆品标签·辅营软包袋纸盒</t>
  </si>
  <si>
    <t xml:space="preserve">零认证披露·店铺评分98.7%（本轮未复现）</t>
  </si>
  <si>
    <t xml:space="preserve">Alibaba站内询盘·TradeWheel联系人James Luo未复核</t>
  </si>
  <si>
    <t xml:space="preserve">✅PASS·线上初筛·多平台交叉可核·穗莞两套地址待确认</t>
  </si>
  <si>
    <t xml:space="preserve">Weifang Xinxing Label Products（潍坊鑫兴标签）</t>
  </si>
  <si>
    <t xml:space="preserve">xinxinglabel.com·MIC店铺</t>
  </si>
  <si>
    <t xml:space="preserve">山东潍坊寒亭区金河巷9号</t>
  </si>
  <si>
    <t xml:space="preserve">未公示</t>
  </si>
  <si>
    <t xml:space="preserve">未挂牌·询价表单制</t>
  </si>
  <si>
    <t xml:space="preserve">不干胶标签设计印刷模切·8类产品线·兼营Fasson材料/碳带/设备贸易</t>
  </si>
  <si>
    <t xml:space="preserve">官网零认证·MIC页称ISO9001无编号</t>
  </si>
  <si>
    <t xml:space="preserve">support@xinxinglabel.com·+86-135-6140-0206（电话/WhatsApp）</t>
  </si>
  <si>
    <t xml:space="preserve">✅PASS·线上初筛·法定名地址全站一致·LinkedIn/ZoomInfo可交叉</t>
  </si>
  <si>
    <t xml:space="preserve">Guangzhou Horizon Label（广州豪镒·法名Label/Printing两写）</t>
  </si>
  <si>
    <t xml:space="preserve">hlabel.com</t>
  </si>
  <si>
    <t xml:space="preserve">广州萝岗天源路新庄工业区A栋</t>
  </si>
  <si>
    <t xml:space="preserve">1000件（类目页实见）</t>
  </si>
  <si>
    <t xml:space="preserve">未挂牌</t>
  </si>
  <si>
    <t xml:space="preserve">双层/多层/四层/折叠标签·烫金压纹透明·12色+9色轮转·日化食品酒医药应用</t>
  </si>
  <si>
    <t xml:space="preserve">FSC仅年审新闻自报无证书号·UL为产品线非公司认证·SGS/RoHS无编号</t>
  </si>
  <si>
    <t xml:space="preserve">horizon@hlabel.com·stevenpu@hlabel.com·+86-18664885050</t>
  </si>
  <si>
    <t xml:space="preserve">✅PASS·线上初筛·MOQ与联系可核·法名两写待工商核验</t>
  </si>
  <si>
    <t xml:space="preserve">Shenzhen Shengcai Label Products（深圳盛彩标签制品）</t>
  </si>
  <si>
    <t xml:space="preserve">sclabel.en.alibaba.com</t>
  </si>
  <si>
    <t xml:space="preserve">100–500件按品类·部分品类另设$2000–3000最低消费</t>
  </si>
  <si>
    <t xml:space="preserve">无挂牌单价</t>
  </si>
  <si>
    <t xml:space="preserve">die-cut·卷装·单张·反贴窗贴·防水乙烯基·镭射彩虹·全息·烫金</t>
  </si>
  <si>
    <t xml:space="preserve">零认证展示</t>
  </si>
  <si>
    <t xml:space="preserve">仅Alibaba站内询盘（contactinfo页抓空）</t>
  </si>
  <si>
    <t xml:space="preserve">✅PASS·线上初筛·主业无疑·深圳多家近似名店铺需确认法人</t>
  </si>
  <si>
    <t xml:space="preserve">Foshan Indigo Label Printing（佛山IDG·候选名Printing Packaging有误）</t>
  </si>
  <si>
    <t xml:space="preserve">idglabels.en.alibaba.com·idglabelpack.com（idglabels.com已停放）</t>
  </si>
  <si>
    <t xml:space="preserve">佛山顺德容桂</t>
  </si>
  <si>
    <t xml:space="preserve">未见（两站均未标）</t>
  </si>
  <si>
    <t xml:space="preserve">数码+柔印+胶印不干胶·Food/Beverage/Supplement标签分类·收缩套标</t>
  </si>
  <si>
    <t xml:space="preserve">ISO9001:2015自述无编号·迪士尼认证/条码资质宣称·无FDA迁移测试</t>
  </si>
  <si>
    <t xml:space="preserve">bennisy@idglabels.com·bennisy@163.com·+86-13925997550</t>
  </si>
  <si>
    <t xml:space="preserve">⚠️UNCERTAIN·线上初筛·司龄自相矛盾·food-grade零FDA证据·邮箱主域网站停放</t>
  </si>
  <si>
    <t xml:space="preserve">Shanghai Rightint（上海睿印·MIC主体为Rightint自粘新材料）</t>
  </si>
  <si>
    <t xml:space="preserve">rightint.com</t>
  </si>
  <si>
    <t xml:space="preserve">上海松江文松路333弄9号楼</t>
  </si>
  <si>
    <t xml:space="preserve">MIC多数品3000㎡卷材级·Memjet类1000件</t>
  </si>
  <si>
    <t xml:space="preserve">MIC $0.21–0.89/㎡（材料卷价非成品价）·官网未公示</t>
  </si>
  <si>
    <t xml:space="preserve">标签材料卷材厂（PP/PET/PE膜·热敏·铝箔·glassine底纸）·eco纸品有文案无实物</t>
  </si>
  <si>
    <t xml:space="preserve">零标准认证·biodegradable无EN13432/FSC依据·MIC Audited+钻石2022</t>
  </si>
  <si>
    <t xml:space="preserve">+86-13625540298·邮箱Cloudflare加密未解出</t>
  </si>
  <si>
    <t xml:space="preserve">⚠️UNCERTAIN·线上初筛·材料厂非成品印厂·eco分类货不对板绿色洗白风险</t>
  </si>
  <si>
    <t xml:space="preserve">Suzhou Advance Printing（苏州雅利·AP Label）</t>
  </si>
  <si>
    <t xml:space="preserve">en.apsz.cn（海外直连受阻）</t>
  </si>
  <si>
    <t xml:space="preserve">苏州（另广州/天津/乌鲁木齐基地）</t>
  </si>
  <si>
    <t xml:space="preserve">不干胶/收缩/模内/防伪溯源标·Xeikon+Domino+HP Indigo数码短单（行业媒体证实）</t>
  </si>
  <si>
    <t xml:space="preserve">SGS碳中和2022（行业媒体证实）·UN全球契约·未见FDA食品接触及任何编号</t>
  </si>
  <si>
    <t xml:space="preserve">hr@apsz.cn（域名匹配企业邮箱）·无销售直线</t>
  </si>
  <si>
    <t xml:space="preserve">✅PASS·线上初筛·三方媒体证实厂真实·官网被阻断全靠快照·大厂小单匹配度存疑</t>
  </si>
  <si>
    <t xml:space="preserve">Shenzhen Pure Printing Products（深圳Pure印刷）</t>
  </si>
  <si>
    <t xml:space="preserve">puresticker.en.alibaba.com</t>
  </si>
  <si>
    <t xml:space="preserve">10–30件（仅搜索摘要佐证）</t>
  </si>
  <si>
    <t xml:space="preserve">无挂牌</t>
  </si>
  <si>
    <t xml:space="preserve">die-cut·sticker sheets·UV DTF·胶带·另有酒标防伪标热敏纸铁罐等综合线</t>
  </si>
  <si>
    <t xml:space="preserve">零披露（无logo无编号）</t>
  </si>
  <si>
    <t xml:space="preserve">仅Alibaba站内询盘（contactinfo页未渲染）</t>
  </si>
  <si>
    <t xml:space="preserve">⚠️UNCERTAIN·线上初筛·MOQ10件仅摘要旁证·业务面偏宽·全店无价</t>
  </si>
  <si>
    <t xml:space="preserve">Maysun Group CO LTD（中山）</t>
  </si>
  <si>
    <t xml:space="preserve">chinastickerprinting.com</t>
  </si>
  <si>
    <t xml:space="preserve">中山东区齐关西路（街道级地址靠外部目录补齐）</t>
  </si>
  <si>
    <t xml:space="preserve">未标明·全站询价制</t>
  </si>
  <si>
    <t xml:space="preserve">未挂牌·仅Get a Quote按钮</t>
  </si>
  <si>
    <t xml:space="preserve">die/kiss-cut·贴纸片·转移贴·静电贴·正面胶·镭射·gloss/woodfree纸</t>
  </si>
  <si>
    <t xml:space="preserve">自报QMS认证无编号无发证机构·20+年出口自称</t>
  </si>
  <si>
    <t xml:space="preserve">info@chinastickerprinting.com·+86-18819122924（电话/WhatsApp）</t>
  </si>
  <si>
    <t xml:space="preserve">⚠️UNCERTAIN·线上初筛·站真实联系一致·无法定注册名·透明度为零</t>
  </si>
  <si>
    <t xml:space="preserve">SunTop Printing（深圳·法定名外部口径不一）</t>
  </si>
  <si>
    <t xml:space="preserve">suntopprint.com</t>
  </si>
  <si>
    <t xml:space="preserve">深圳龙岗宝龙工业区宝沙一路100号</t>
  </si>
  <si>
    <t xml:space="preserve">未公示·Request Quote制</t>
  </si>
  <si>
    <t xml:space="preserve">FSC纸贴纸·Vinyl/BOPP/PET·主业实为包装盒画册书刊综合印厂</t>
  </si>
  <si>
    <t xml:space="preserve">FSC-COC/G7 Master/ISO9001/14001/45001/12647均无编号·无任何堆肥认证</t>
  </si>
  <si>
    <t xml:space="preserve">eric@suntopprint.com·+86-13927427509</t>
  </si>
  <si>
    <t xml:space="preserve">⚠️UNCERTAIN·线上初筛·eco类目错配（FSC≠可堆肥）·贴纸仅为副线</t>
  </si>
  <si>
    <t xml:space="preserve">JinXinCai Printing（金新彩·全站无法定名）</t>
  </si>
  <si>
    <t xml:space="preserve">customprintingco.com（OwnlyBrand第三方代建站）</t>
  </si>
  <si>
    <t xml:space="preserve">深圳（无街道厂址）</t>
  </si>
  <si>
    <t xml:space="preserve">数码标签500件·啤酒标250件·胶印2000件·可多SKU拼单（页面实见）</t>
  </si>
  <si>
    <t xml:space="preserve">未挂牌·仅材料成本区间$0.02–0.12/枚</t>
  </si>
  <si>
    <t xml:space="preserve">食品饮料标·FDA合规包材宣称·Heidelberg六色胶印+数码+柔印+丝印自报</t>
  </si>
  <si>
    <t xml:space="preserve">未见·数码交期7-10工作日</t>
  </si>
  <si>
    <t xml:space="preserve">FDA 21 CFR函件随单宣称·ISO9001/14001年份口径自相矛盾·OHSAS18001已废止</t>
  </si>
  <si>
    <t xml:space="preserve">jinxincai@ownlybrand.com（第三方平台域）·WhatsApp +1-617-6376660（美国号）</t>
  </si>
  <si>
    <t xml:space="preserve">⚠️UNCERTAIN·线上初筛·AI获客面站·平台外零第三方足迹·实体存在待证</t>
  </si>
  <si>
    <t xml:space="preserve">Shenzhen Qianshunlong Printing（深圳乾顺隆印刷）</t>
  </si>
  <si>
    <t xml:space="preserve">qslprinting.net·Alibaba店存在未核（拼写Shengzhen有笔误）</t>
  </si>
  <si>
    <t xml:space="preserve">深圳龙华区松元厦社区象西新围113号B栋2层</t>
  </si>
  <si>
    <t xml:space="preserve">全站未标明</t>
  </si>
  <si>
    <t xml:space="preserve">未挂牌·全站零价格</t>
  </si>
  <si>
    <t xml:space="preserve">4mil白乙烯基UV涂层实证·纸质/透明/全息kiss-cut·蛋壳贴·HP数码机宣称</t>
  </si>
  <si>
    <t xml:space="preserve">首页称可获工厂免费样品·无成文政策</t>
  </si>
  <si>
    <t xml:space="preserve">全站零认证（无logo无编号）</t>
  </si>
  <si>
    <t xml:space="preserve">2168756740@qq.com（个人QQ邮箱）·+86-17748688952</t>
  </si>
  <si>
    <t xml:space="preserve">✅PASS·线上初筛·名址电邮站内一致·零认证零报价压分</t>
  </si>
  <si>
    <t xml:space="preserve">BRCGS/SQF 官方目录检索：24 家（含全部 5 家 food-grade）均无收录记录——设施认证空格本轮未关闭；eco-compostable 方向 0 家通过（存在货不对板/FSC≠可堆肥的类目错配）</t>
  </si>
  <si>
    <t xml:space="preserve">Accio 猎源池（2026-07-03·用户提供的 Accio AI sourcing 10 家候选，按同一标准核验：主体去重+红旗筛+认证实见+评分；10 家中 2 家判 DUPLICATE 剔除——beyondlable/charmzalabel 均为广州超雅同一法人，与上方扩充池 Charmza 条目重复不重列；净增 8 家）</t>
  </si>
  <si>
    <t xml:space="preserve">Dongguan City Donghong Printing（东莞东宏·中文名系推断待工商核）</t>
  </si>
  <si>
    <t xml:space="preserve">donghongprinting.en.alibaba.com·MIC同名店donghongprinting</t>
  </si>
  <si>
    <t xml:space="preserve">广东东莞长安镇（上沙第三工业区/厦岗福海路52号14栋701室两址矛盾）</t>
  </si>
  <si>
    <t xml:space="preserve">1000件（MIC多数产品）</t>
  </si>
  <si>
    <t xml:space="preserve">纹身贴$0.006–0.03/pc·自粘标签$0.01/pc·儿童纹身贴$0.1/pc</t>
  </si>
  <si>
    <t xml:space="preserve">不干胶贴纸·转印/滴胶/3D/车贴·纹身贴·和纸/PET胶带·贴纸书·手账文具（基材未细列）</t>
  </si>
  <si>
    <t xml:space="preserve">未见成文打样政策</t>
  </si>
  <si>
    <t xml:space="preserve">Accio称ISO/BSCI/EN71/CE/FSC店内全未实见·MIC仅文字ISO9001:2000（作废旧版）·Disney认证/印刷50强宣称无凭据</t>
  </si>
  <si>
    <t xml:space="preserve">联系人Christine Liu（MIC销售部）·两平台均未公开电话邮箱</t>
  </si>
  <si>
    <t xml:space="preserve">⚠️UNCERTAIN·Accio猎源·线上初筛·认证零实见·成立年份/面积/人数三处口径矛盾·Room701地址疑办公室·询盘索证后再定</t>
  </si>
  <si>
    <t xml:space="preserve">Jiangsu OPT Barcode Label（江苏欧普特条码标签·2003年·160人/3万㎡）</t>
  </si>
  <si>
    <t xml:space="preserve">jsopt.en.alibaba.com·官网optlabels.com</t>
  </si>
  <si>
    <t xml:space="preserve">江苏泰州京沂路59号</t>
  </si>
  <si>
    <t xml:space="preserve">官网称无MOQ（HP数码线支持小单）·店内挂牌未实见待询证</t>
  </si>
  <si>
    <t xml:space="preserve">未实见挂牌价（店铺反爬）·无异常低价迹象</t>
  </si>
  <si>
    <t xml:space="preserve">不干胶卷标·食品饮料化妆品保健品标签·缩膜·纸盒·站立袋·20条柔印FML线+HP Indigo 6.90·年产约200亿枚</t>
  </si>
  <si>
    <t xml:space="preserve">UL File MH60774经UL Prospector官方库实证（Printing Materials组件级·非成品玩具认证）·ISO9001/SGS/GMI/FSC/Disney/麦当劳审核均自报无编号·无CPC/EN71</t>
  </si>
  <si>
    <t xml:space="preserve">+86-18261037203（电话/WhatsApp·潜在微信线索）</t>
  </si>
  <si>
    <t xml:space="preserve">✅PASS·Accio猎源·线上初筛·UL第三方库实证·工业/品牌标签定位非儿童贴纸向·可并池</t>
  </si>
  <si>
    <t xml:space="preserve">Guangdong Boyue Digital Application Technology（广东博悦数码·河源博悦集团）</t>
  </si>
  <si>
    <t xml:space="preserve">beyondlabelprint.en.alibaba.com·官网boyueprinting.com·同主体至少5家阿里店</t>
  </si>
  <si>
    <t xml:space="preserve">广东河源高新区兴业大道北23号（另深圳卓越中心办公点）</t>
  </si>
  <si>
    <t xml:space="preserve">官网无硬性MOQ·建议200件起·可100件试单</t>
  </si>
  <si>
    <t xml:space="preserve">卷装标签约$0.040/枚起·瓦楞邮寄盒至$1.185/件·无低价红旗</t>
  </si>
  <si>
    <t xml:space="preserve">数码印刷·vinyl防水贴纸·UV覆膜·烫金planner贴·和纸胶带（CMYK）·sheet/die-cut·软包袋·纸盒·酒标</t>
  </si>
  <si>
    <t xml:space="preserve">可100件试单（未见免费样政策）</t>
  </si>
  <si>
    <t xml:space="preserve">FSC-C167554经FSC官方库实证·Sedex/RoHS自报无编号（RoHS欧盟向）·ISO仅官网文字·无CPC/UL/EN71</t>
  </si>
  <si>
    <t xml:space="preserve">+86-18926054779（电话/WhatsApp·潜在微信线索）·官网邮箱被CDN保护未取到</t>
  </si>
  <si>
    <t xml:space="preserve">✅PASS·Accio猎源·线上初筛·FSC官方库实证·多店矩阵询价防同集团重复报价·可并池</t>
  </si>
  <si>
    <t xml:space="preserve">Ningbo Skyline Printing（宁波天际印刷·2006年建·约99人）</t>
  </si>
  <si>
    <t xml:space="preserve">nbskyline.en.alibaba.com（姊妹店skylinelabel已404）</t>
  </si>
  <si>
    <t xml:space="preserve">浙江宁波海曙区集士港镇秋实路1630号</t>
  </si>
  <si>
    <t xml:space="preserve">Accio称100件起（数码短单入口价）·量产经济批量大</t>
  </si>
  <si>
    <t xml:space="preserve">$0.02–0.50/pc（Tradewheel $0.01–0.50）·千件以上称降50–90%·无异常低价</t>
  </si>
  <si>
    <t xml:space="preserve">纸不干胶·镭射/全息贴纸·热敏标·酒标条码标·透明/防水vinyl·A2-A6幅面复杂模切（转述级）</t>
  </si>
  <si>
    <t xml:space="preserve">Accio称48h数码打样（未实见）</t>
  </si>
  <si>
    <t xml:space="preserve">ISO9001/FSC有目录级佐证无编号·Accio独称BSCI/UL全网未见·REACH/Prop65无证据·无CPC/EN71</t>
  </si>
  <si>
    <t xml:space="preserve">联系人Vila Mao（Tradewheel）·电话邮箱未公开需站内询盘</t>
  </si>
  <si>
    <t xml:space="preserve">⚠️UNCERTAIN·Accio猎源·线上初筛·BSCI/UL及北美35%无出处·偏包装印刷厂非贴纸专精·索证后再定</t>
  </si>
  <si>
    <t xml:space="preserve">Qingdao Geyu Printing（青岛格宇印刷·中文工商检索零命中待核）</t>
  </si>
  <si>
    <t xml:space="preserve">geyu.en.alibaba.com·GS展厅同名未验证</t>
  </si>
  <si>
    <t xml:space="preserve">山东青岛</t>
  </si>
  <si>
    <t xml:space="preserve">Accio转述500–1000件起·店内未实见</t>
  </si>
  <si>
    <t xml:space="preserve">未实见挂牌价（店铺反爬）</t>
  </si>
  <si>
    <t xml:space="preserve">卡通贴纸·墙贴·阳光捕手窗贴·儿童busy book·定制卷标·防水食品标·抗UV vinyl·UV+覆膜（均转述级）</t>
  </si>
  <si>
    <t xml:space="preserve">Accio称样品7天内（未实见）</t>
  </si>
  <si>
    <t xml:space="preserve">Accio称CPC/CE/FSC三项店内及第三方均零实见（自报级）·GS页Unverified且产品数为0</t>
  </si>
  <si>
    <t xml:space="preserve">未获取（contactinfo页被反爬·无电话联系人）</t>
  </si>
  <si>
    <t xml:space="preserve">⚠️UNCERTAIN·Accio猎源·线上初筛·儿童品类方向契合但CPC取证为零·须索CPC证书+CPSIA测试报告</t>
  </si>
  <si>
    <t xml:space="preserve">Shenzhen Shengtianxin Printing（约2006年·51-100人·疑盛天鑫未确证·勿与盛泰鑫/QSL混淆）</t>
  </si>
  <si>
    <t xml:space="preserve">shengtianxin.en.alibaba.com</t>
  </si>
  <si>
    <t xml:space="preserve">广东深圳</t>
  </si>
  <si>
    <t xml:space="preserve">未取得（店铺反爬）</t>
  </si>
  <si>
    <t xml:space="preserve">未取得挂牌价</t>
  </si>
  <si>
    <t xml:space="preserve">不干胶自粘标签·防水vinyl·条码/可变数据标·封口贴·蜡封贴·食品饮料日化医药标签</t>
  </si>
  <si>
    <t xml:space="preserve">Accio称ISO9001/CE/RoHS均自报无实见（CE/RoHS欧盟向非北美依据）·无CPC/UL/EN71</t>
  </si>
  <si>
    <t xml:space="preserve">联系人Lily He（TradeWheel）·无电话邮箱线索</t>
  </si>
  <si>
    <t xml:space="preserve">⚠️UNCERTAIN·Accio猎源·线上初筛·三页反爬零实见·偏包装/条码标签与消费级贴纸匹配度存疑</t>
  </si>
  <si>
    <t xml:space="preserve">Shanghai Stonedoing Industry（沪名皖址·另有Huangshan Stonedoing双主体·贸易商）</t>
  </si>
  <si>
    <t xml:space="preserve">stonedoing.en.alibaba.com·MIC店Huangshan Stonedoing</t>
  </si>
  <si>
    <t xml:space="preserve">安徽黄山经济区Dreamworks 306室（公司冠上海名）</t>
  </si>
  <si>
    <t xml:space="preserve">未见（店铺反爬）</t>
  </si>
  <si>
    <t xml:space="preserve">未见挂牌价</t>
  </si>
  <si>
    <t xml:space="preserve">die-cut/滴胶/vinyl/透明/车贴/标签贴·主业扑克塔罗卡牌+布袋·贴纸非主业</t>
  </si>
  <si>
    <t xml:space="preserve">Accio称CPC/RoHS零证据·第三方目录自报ISO9001/TUV/FSC/CE/EN71/ASTM/SGS均无编号·北美60%与TradeSNS约23%矛盾</t>
  </si>
  <si>
    <t xml:space="preserve">联系人Stone Well·+86-21-61984607（上海座机）</t>
  </si>
  <si>
    <t xml:space="preserve">⚠️UNCERTAIN·Accio猎源·线上初筛·TradeSNS标贸易商非制造·CPC卖点未兑现须索证书PDF后复核</t>
  </si>
  <si>
    <t xml:space="preserve">Dongguan Shengye Packaging Products（东莞盛业包装·中文名未确证）</t>
  </si>
  <si>
    <t xml:space="preserve">sybz1688.en.alibaba.com·GS同名店Unverified</t>
  </si>
  <si>
    <t xml:space="preserve">广东东莞</t>
  </si>
  <si>
    <t xml:space="preserve">品牌标签约100件·瓦楞盒约500件（第三方转述）</t>
  </si>
  <si>
    <t xml:space="preserve">vinyl户外耐候·epoxy滴胶·防油耐刮涂层标·热敏纸/热敏标·RFID贴纸·兼营纸盒纸袋卡片画册</t>
  </si>
  <si>
    <t xml:space="preserve">Accio称RoHS/CE自报级（欧盟向非北美依据）·无CPC/UL/EN71任何取证</t>
  </si>
  <si>
    <t xml:space="preserve">未获取（三页反爬）·仅Alibaba站内询盘</t>
  </si>
  <si>
    <t xml:space="preserve">⚠️UNCERTAIN·Accio猎源·线上初筛·三页反爬零实见·GS店产品线杂含打印机扑克疑贸易商·索证后再定</t>
  </si>
  <si>
    <t xml:space="preserve">主体去重关键发现：beyondlable 与 charmzalabel 同属 Guangzhou Chaoya Printing Technology（广州超雅）——判 DUPLICATE；beyondlabelprint 法定主体为 Guangdong Boyue Digital（广东博悦，河源）——与超雅无关联，为独立新主体，但两集团品牌词高度近似（Beyond vs Boyue）易混，博悦自身亦有5+店铺需防同集团重复报价。CPC 核验结论：Accio 标注的 2 家 CPC 候选（Stonedoing/Geyu）经核验均为零实见证据（无证书图/编号/测试报告）——T11 儿童贴纸空格仍未关闭。UL 核验结论：Jiangsu OPT 的 UL File MH60774 经 UL Prospector 官方目录实证（组件级·Printing Materials，非成品认证）——本轮唯一过硬安全类证据，可补入 T13 候选。</t>
  </si>
  <si>
    <t xml:space="preserve">供应商×白空间匹配矩阵（数据截至 2026-07-02·资质实核）·✅能/◐部分/✕不能/?未知·列：①环保+食品 ②可变数据 ③饮品合规 ④环保背书·总结论：现有名单仅Stickerhome可直接进RFQ池，白空间需求需按"能力缺口"新增供应商</t>
  </si>
  <si>
    <t xml:space="preserve">一、中国 shortlist（12家）</t>
  </si>
  <si>
    <t xml:space="preserve">供应商</t>
  </si>
  <si>
    <t xml:space="preserve">①环保+食品</t>
  </si>
  <si>
    <t xml:space="preserve">②可变数据</t>
  </si>
  <si>
    <t xml:space="preserve">③饮品合规</t>
  </si>
  <si>
    <t xml:space="preserve">④环保背书</t>
  </si>
  <si>
    <t xml:space="preserve">结论</t>
  </si>
  <si>
    <t xml:space="preserve">核查要点</t>
  </si>
  <si>
    <t xml:space="preserve">进入RFQ条件/下一步</t>
  </si>
  <si>
    <t xml:space="preserve">Stickerhome（=中山Singhong，同一店铺）</t>
  </si>
  <si>
    <t xml:space="preserve">?</t>
  </si>
  <si>
    <t xml:space="preserve">◐</t>
  </si>
  <si>
    <t xml:space="preserve">✕</t>
  </si>
  <si>
    <t xml:space="preserve">唯一直接进RFQ池</t>
  </si>
  <si>
    <t xml:space="preserve">全名单唯一有平台级可验证交易数据：Alibaba近6个月1,136单、US$30万+、96.0%准时、4.9分、TÜV Rheinland Verified；年化仅~$60万规模、认证/材料能力未知</t>
  </si>
  <si>
    <t xml:space="preserve">发首轮RFQ（3寸圆+哑膜三档）；索营业执照+TÜV评估报告</t>
  </si>
  <si>
    <t xml:space="preserve">华鑫美 Huaxinmei（hxmpackge.com）</t>
  </si>
  <si>
    <t xml:space="preserve">◐?</t>
  </si>
  <si>
    <t xml:space="preserve">有条件进入</t>
  </si>
  <si>
    <t xml:space="preserve">首页宣称HP Indigo但About设备清单无任何Indigo型号（自相矛盾）；域名2022-12注册 vs 自称2005成立；页面残留AI生成痕迹；FSC/FDA无编号（FSC库检索未完成，属"未证实"非"证伪"）；CBD/电子烟品类与食品定位冲突</t>
  </si>
  <si>
    <t xml:space="preserve">先交FSC-C编号+FDA迁移测试报告号+Indigo序列号照片</t>
  </si>
  <si>
    <t xml:space="preserve">hxcustomlabel（深圳金之彩）</t>
  </si>
  <si>
    <t xml:space="preserve">中批量特定品类询价</t>
  </si>
  <si>
    <t xml:space="preserve">传统UV轮转凸印（诚实列出、无数码机），有流水号/酒标/高低温品类，做不了经济的&lt;100张短单</t>
  </si>
  <si>
    <t xml:space="preserve">按品类询价</t>
  </si>
  <si>
    <t xml:space="preserve">Stickers Manufacturer</t>
  </si>
  <si>
    <t xml:space="preserve">候补</t>
  </si>
  <si>
    <t xml:space="preserve">自称HP Indigo，纯贴纸厂但无第三方认证</t>
  </si>
  <si>
    <t xml:space="preserve">索设备/认证证据</t>
  </si>
  <si>
    <t xml:space="preserve">Best4U</t>
  </si>
  <si>
    <t xml:space="preserve">MOQ500、材质最全（含BOPP/牛皮），无认证证据</t>
  </si>
  <si>
    <t xml:space="preserve">补尽调</t>
  </si>
  <si>
    <t xml:space="preserve">上海宇才</t>
  </si>
  <si>
    <t xml:space="preserve">有酒标/卷标产品页但无任何认证与设备证据；$0.009系起批噱头</t>
  </si>
  <si>
    <t xml:space="preserve">Shenzhen Yucai Packing</t>
  </si>
  <si>
    <t xml:space="preserve">仅Alibaba店内信息，与上海宇才勿混</t>
  </si>
  <si>
    <t xml:space="preserve">BookPrintingChina</t>
  </si>
  <si>
    <t xml:space="preserve">合规重客户备选</t>
  </si>
  <si>
    <t xml:space="preserve">FSC+大豆墨图标、认证最全，但主业图书印刷、无食品接触</t>
  </si>
  <si>
    <t xml:space="preserve">按需询价</t>
  </si>
  <si>
    <t xml:space="preserve">嘉特 Gathe</t>
  </si>
  <si>
    <t xml:space="preserve">不发盘</t>
  </si>
  <si>
    <t xml:space="preserve">主业包装盒、标签副业，无认证无卷标无数码；实测价为声称2–4倍</t>
  </si>
  <si>
    <t xml:space="preserve">—</t>
  </si>
  <si>
    <t xml:space="preserve">Canfei 灿飞</t>
  </si>
  <si>
    <t xml:space="preserve">仅防伪需求</t>
  </si>
  <si>
    <t xml:space="preserve">全息防伪专精，防伪序列号≠可变数据场景</t>
  </si>
  <si>
    <t xml:space="preserve">Jabay</t>
  </si>
  <si>
    <t xml:space="preserve">主业拼图桌游，行业错配</t>
  </si>
  <si>
    <t xml:space="preserve">YYOYIART</t>
  </si>
  <si>
    <t xml:space="preserve">MOQ25-50但纯手帐装饰品类，行业错配</t>
  </si>
  <si>
    <t xml:space="preserve">二、扩展候选核查（不在原shortlist）</t>
  </si>
  <si>
    <t xml:space="preserve">候选</t>
  </si>
  <si>
    <t xml:space="preserve">复议条件</t>
  </si>
  <si>
    <t xml:space="preserve">LabelPrintingChina（深圳，自报48h冰桶+FDA+数码小单）</t>
  </si>
  <si>
    <t xml:space="preserve">剔除</t>
  </si>
  <si>
    <t xml:space="preserve">三重红旗：全站无法定公司名（工商无从核起）+ ImportYeti/Panjiva查无其名称或地址的对美提单 + 域名2018-10注册（RDAP确证）vs 自称18年经验</t>
  </si>
  <si>
    <t xml:space="preserve">对方提交法定主体名+真实提单/客户证据</t>
  </si>
  <si>
    <t xml:space="preserve">惠州YITO</t>
  </si>
  <si>
    <t xml:space="preserve">certified卖点不合格</t>
  </si>
  <si>
    <t xml:space="preserve">BPI库（带阳性对照：同城YangRui持证可查）与DIN CERTCO（阳性对照Novamont正常）均查无；官网措辞本身是"in line with"非"certified"——美国市场卖certified compostable有FTC Green Guides风险</t>
  </si>
  <si>
    <t xml:space="preserve">提供上游持证树脂（BASF ecovio/NatureWorks）或持证代工厂证书链、覆盖具体面材SKU且允许转授权</t>
  </si>
  <si>
    <t xml:space="preserve">Biopacktech（江门；与深圳Kingcolor非同一主体）</t>
  </si>
  <si>
    <t xml:space="preserve">BPI/DIN均查无；网站措辞已弱化为"can support…certification needs"，接近承认无自有证书</t>
  </si>
  <si>
    <t xml:space="preserve">同上</t>
  </si>
  <si>
    <t xml:space="preserve">Kingcolor / dcolorpaper（深圳热敏纸厂）</t>
  </si>
  <si>
    <t xml:space="preserve">有条件（仅热敏纸）</t>
  </si>
  <si>
    <t xml:space="preserve">网站无任何可堆肥宣称；自称1993年成立/隶属Guangdong Tango集团为weak</t>
  </si>
  <si>
    <t xml:space="preserve">索FSC证书编号（注意可能挂母公司名下）</t>
  </si>
  <si>
    <t xml:space="preserve">上海Jinya Label</t>
  </si>
  <si>
    <t xml:space="preserve">移除</t>
  </si>
  <si>
    <t xml:space="preserve">经核实为不干胶"材料"生产商，非HP Indigo数码印刷厂</t>
  </si>
  <si>
    <t xml:space="preserve">可留作材料采购线索</t>
  </si>
  <si>
    <t xml:space="preserve">三、美国本土POD白牌层候选（&lt;100张的永久履约层；125张档零售锚~$78，40%毛利需进货≤$47——公开条款下无一家达标）</t>
  </si>
  <si>
    <t xml:space="preserve">白牌/经销条款</t>
  </si>
  <si>
    <t xml:space="preserve">毛利判断</t>
  </si>
  <si>
    <t xml:space="preserve">下一步</t>
  </si>
  <si>
    <t xml:space="preserve">4over</t>
  </si>
  <si>
    <t xml:space="preserve">7家中唯一trade-only批发商：转售证书+人工审批+年审、默认全程白牌、完整下单API</t>
  </si>
  <si>
    <t xml:space="preserve">唯一结构性可能支撑40%毛利者，但实价锁登录墙未验证；注意其标准贴纸为70lb纸质crack-and-peel、卷标限3"芯/6"外径，与主流vinyl die-cut有质感错位</t>
  </si>
  <si>
    <t xml:space="preserve">注册经销账户（需美国转售证书）——美国侧唯一go/no-go未知数</t>
  </si>
  <si>
    <t xml:space="preserve">StickerGiant</t>
  </si>
  <si>
    <t xml:space="preserve">免费盲发+转售证书免税；明确无批发/经销折扣</t>
  </si>
  <si>
    <t xml:space="preserve">进货=零售价（~$0.28/张@250张，毛利33–34%），只能做品牌溢价非折扣套利</t>
  </si>
  <si>
    <t xml:space="preserve">零门槛即插即用，验证期可直接用</t>
  </si>
  <si>
    <t xml:space="preserve">Smartpress</t>
  </si>
  <si>
    <t xml:space="preserve">正式Reseller计划：盲发+免税+专属客服，无公开折扣率</t>
  </si>
  <si>
    <t xml:space="preserve">未知</t>
  </si>
  <si>
    <t xml:space="preserve">询价折扣率</t>
  </si>
  <si>
    <t xml:space="preserve">Lightning Labels</t>
  </si>
  <si>
    <t xml:space="preserve">正式reseller计划+盲发+50张起，条款明确</t>
  </si>
  <si>
    <t xml:space="preserve">补入候选、询价</t>
  </si>
  <si>
    <t xml:space="preserve">Sttark（=Frontier，2022-08更名同一家）</t>
  </si>
  <si>
    <t xml:space="preserve">最低订单约$260（FAQ实抓）</t>
  </si>
  <si>
    <t xml:space="preserve">不覆盖125张小单档</t>
  </si>
  <si>
    <t xml:space="preserve">特定品类（卷标）询价对象</t>
  </si>
  <si>
    <t xml:space="preserve">Blue Label</t>
  </si>
  <si>
    <t xml:space="preserve">折扣条款全部一对一询价，无公开trade条款</t>
  </si>
  <si>
    <t xml:space="preserve">邮件询价折扣与盲发</t>
  </si>
  <si>
    <t xml:space="preserve">四、能力缺口→需新增的供应商类型</t>
  </si>
  <si>
    <t xml:space="preserve">① BPI认证可堆肥标签材料：全美在证定制胶粘标签为零（Elevate证书≤2024-04失效）；先用"欧洲认证+ASTM合规声称"面材试卖，验证付费意愿再评估自建BPI</t>
  </si>
  <si>
    <t xml:space="preserve">② 食品/饮品级HP Indigo数码卷标厂（FDA迁移测试报告）：华南Indigo装机圈层（佛山Doit/东莞宏感所在圈层）实地RFQ + 华鑫美有条件核验</t>
  </si>
  <si>
    <t xml:space="preserve">③ 美国白牌POD合作方：4over注册实价是唯一go/no-go未知数</t>
  </si>
  <si>
    <t xml:space="preserve">核验边界：FSC与TÜV Austria两库因技术原因未完成有效检索；中国厂普遍以中文法定名/母公司名义持证，存在系统性漏检——"查无"≠"证伪"，复议以对方提交证书编号为前提</t>
  </si>
  <si>
    <t xml:space="preserve">供应链 0→1 Playbook 执行跟踪（阶段→动作→gate；详细操作见报告 E 节；2026-07-02）</t>
  </si>
  <si>
    <t xml:space="preserve">阶段</t>
  </si>
  <si>
    <t xml:space="preserve">动作</t>
  </si>
  <si>
    <t xml:space="preserve">Gate（通过标准）</t>
  </si>
  <si>
    <t xml:space="preserve">本项目状态</t>
  </si>
  <si>
    <t xml:space="preserve">备注/负责</t>
  </si>
  <si>
    <t xml:space="preserve">0 需求定义</t>
  </si>
  <si>
    <t xml:space="preserve">选定 3 个测试 SKU（3×3 die-cut vinyl / 2寸圆 BOPP 卷标 / 3×3 全息）</t>
  </si>
  <si>
    <t xml:space="preserve">规格完整可写进 RFQ</t>
  </si>
  <si>
    <t xml:space="preserve">✅ 完成</t>
  </si>
  <si>
    <t xml:space="preserve">源自 A3 规格矩阵</t>
  </si>
  <si>
    <t xml:space="preserve">定采购价上限（100张≤$0.08 / 500张≤$0.05 / 1000张≤$0.03）</t>
  </si>
  <si>
    <t xml:space="preserve">超上限报价直接砍</t>
  </si>
  <si>
    <t xml:space="preserve">从成本模型倒推</t>
  </si>
  <si>
    <t xml:space="preserve">质量标准写死（色差/刀线≤0.5mm/防水24h）</t>
  </si>
  <si>
    <t xml:space="preserve">可直接入 PI</t>
  </si>
  <si>
    <t xml:space="preserve">1 寻源</t>
  </si>
  <si>
    <t xml:space="preserve">Alibaba/MIC/GS 搜数码印刷贴纸厂 15–30 家</t>
  </si>
  <si>
    <t xml:space="preserve">每家有直达联系方式</t>
  </si>
  <si>
    <t xml:space="preserve">12 家实核 + 24 家扩充池（2026-07-03·6 路猎源）= 36 家·gate 达标</t>
  </si>
  <si>
    <t xml:space="preserve">ImportYeti/Panjiva 提单反查对美真实供货厂</t>
  </si>
  <si>
    <t xml:space="preserve">至少交叉验证头部候选</t>
  </si>
  <si>
    <t xml:space="preserve">曾证伪 LabelPrintingChina</t>
  </si>
  <si>
    <t xml:space="preserve">2 初筛</t>
  </si>
  <si>
    <t xml:space="preserve">一票否决红旗扫查（无法定名/设备矛盾/低于物理成本价）</t>
  </si>
  <si>
    <t xml:space="preserve">无红旗者进入评分</t>
  </si>
  <si>
    <t xml:space="preserve">华鑫美触发设备矛盾→有条件</t>
  </si>
  <si>
    <t xml:space="preserve">评分卡打分（≥75 发盘 / 55–74 补尽调 / &lt;55 弃）</t>
  </si>
  <si>
    <t xml:space="preserve">产出 5–8 家发盘名单</t>
  </si>
  <si>
    <t xml:space="preserve">Stickerhome 79 分唯一直接过</t>
  </si>
  <si>
    <t xml:space="preserve">扩充池 24 家全筛（域名年龄+提单库+认证库三查+评分卡复核）</t>
  </si>
  <si>
    <t xml:space="preserve">PASS 13 家优先·产出新增发盘名单</t>
  </si>
  <si>
    <t xml:space="preserve">⏳ 排程中</t>
  </si>
  <si>
    <t xml:space="preserve">扩充池现有分数系线上初筛级·不可直接对比</t>
  </si>
  <si>
    <t xml:space="preserve">核验用户提供的 Accio AI sourcing 10 家候选（去重+红旗+CPC/UL实见取证）</t>
  </si>
  <si>
    <t xml:space="preserve">识别重复主体+确认安全认证真伪</t>
  </si>
  <si>
    <t xml:space="preserve">2 家判重复剔除·净增 8 家·池子达 44 家；Jiangsu OPT 的 UL 认证经官方库实证</t>
  </si>
  <si>
    <t xml:space="preserve">3 建联RFQ</t>
  </si>
  <si>
    <t xml:space="preserve">给 Stickerhome 发 E1 询盘信（3寸圆+哑膜三档）</t>
  </si>
  <si>
    <t xml:space="preserve">收到逐项 PI</t>
  </si>
  <si>
    <t xml:space="preserve">⏳ 下一步</t>
  </si>
  <si>
    <t xml:space="preserve">同步索营业执照+TÜV 报告</t>
  </si>
  <si>
    <t xml:space="preserve">向华鑫美索 FSC-C 编号+FDA 迁移报告号+Indigo 序列号</t>
  </si>
  <si>
    <t xml:space="preserve">证据齐全才发盘</t>
  </si>
  <si>
    <t xml:space="preserve">拒交=降级</t>
  </si>
  <si>
    <t xml:space="preserve">文件处理能力实测（埋 3 个问题的测试文件）</t>
  </si>
  <si>
    <t xml:space="preserve">逐项指出问题=过</t>
  </si>
  <si>
    <t xml:space="preserve">未开始</t>
  </si>
  <si>
    <t xml:space="preserve">测 prepress 能力</t>
  </si>
  <si>
    <t xml:space="preserve">收齐 ≥3 份逐项 PI 并互压议价</t>
  </si>
  <si>
    <t xml:space="preserve">真实采购价回填成本模型</t>
  </si>
  <si>
    <t xml:space="preserve">表格自动重算毛利</t>
  </si>
  <si>
    <t xml:space="preserve">4 打样</t>
  </si>
  <si>
    <t xml:space="preserve">付费打样 2–3 家（同一文件横向可比）</t>
  </si>
  <si>
    <t xml:space="preserve">≥1 家全项通过</t>
  </si>
  <si>
    <t xml:space="preserve">¥200 报销用在这</t>
  </si>
  <si>
    <t xml:space="preserve">样品实测（色差/刀线/胶性/防水/耐刮 5 项）</t>
  </si>
  <si>
    <t xml:space="preserve">全项通过才进首单</t>
  </si>
  <si>
    <t xml:space="preserve">5 资质核验</t>
  </si>
  <si>
    <t xml:space="preserve">证书编号逐项核（FSC info.fsc.org / 认监委 / 实验室）</t>
  </si>
  <si>
    <t xml:space="preserve">官网可查或书面承认无证</t>
  </si>
  <si>
    <t xml:space="preserve">部分</t>
  </si>
  <si>
    <t xml:space="preserve">查无≠证伪</t>
  </si>
  <si>
    <t xml:space="preserve">营业执照→企查查核成立时间/经营范围/涉诉</t>
  </si>
  <si>
    <t xml:space="preserve">无重大涉诉</t>
  </si>
  <si>
    <t xml:space="preserve">视频验厂（走车间+拍设备铭牌+看在产订单）</t>
  </si>
  <si>
    <t xml:space="preserve">设备与宣称一致</t>
  </si>
  <si>
    <t xml:space="preserve">年采&gt;$5万再做付费验厂</t>
  </si>
  <si>
    <t xml:space="preserve">6 首单合同</t>
  </si>
  <si>
    <t xml:space="preserve">100 张试单（测改稿响应/状态汇报/交期兑现）</t>
  </si>
  <si>
    <t xml:space="preserve">交期兑现且与样品一致</t>
  </si>
  <si>
    <t xml:space="preserve">买流程数据不是买货</t>
  </si>
  <si>
    <t xml:space="preserve">PI 9 要素齐全（含质量条款与售后条款）</t>
  </si>
  <si>
    <t xml:space="preserve">签回存档</t>
  </si>
  <si>
    <t xml:space="preserve">永不 100% 前 TT</t>
  </si>
  <si>
    <t xml:space="preserve">7 物流清关</t>
  </si>
  <si>
    <t xml:space="preserve">首单走空运 DDP（PI 列明关税已含由卖方申报）</t>
  </si>
  <si>
    <t xml:space="preserve">首单落仓</t>
  </si>
  <si>
    <t xml:space="preserve">量级规则见报告 E 阶段7</t>
  </si>
  <si>
    <t xml:space="preserve">实际到岸成本回填成本模型</t>
  </si>
  <si>
    <t xml:space="preserve">模型由假设转实证</t>
  </si>
  <si>
    <t xml:space="preserve">07-24 关税落点后重算</t>
  </si>
  <si>
    <t xml:space="preserve">8 验收复购</t>
  </si>
  <si>
    <t xml:space="preserve">到货抽检（≤1000 张全检外观+3% 功能；拆箱录像）</t>
  </si>
  <si>
    <t xml:space="preserve">合格率 ≥97%</t>
  </si>
  <si>
    <t xml:space="preserve">确立主备双供应商（70/30 持续走量）</t>
  </si>
  <si>
    <t xml:space="preserve">备份在库有单</t>
  </si>
  <si>
    <t xml:space="preserve">季度比价·年度重谈</t>
  </si>
  <si>
    <t xml:space="preserve">美国POD层（并行）</t>
  </si>
  <si>
    <t xml:space="preserve">注册 4over 经销账户（需美国转售证书）拿实价</t>
  </si>
  <si>
    <t xml:space="preserve">40% 毛利可闭环=go</t>
  </si>
  <si>
    <t xml:space="preserve">⏳ 待办</t>
  </si>
  <si>
    <t xml:space="preserve">该层唯一 go/no-go 未知数</t>
  </si>
  <si>
    <t xml:space="preserve">邮件确认 Blue Label/OnlineLabels/Lightning/Smartpress trade 条款</t>
  </si>
  <si>
    <t xml:space="preserve">拿到书面折扣与盲发确认</t>
  </si>
  <si>
    <t xml:space="preserve">人肉转单 SOP 上线（字段映射表+2pm ET 截单+转单台账+盲发自寄验证）</t>
  </si>
  <si>
    <t xml:space="preserve">首单盲发验证通过</t>
  </si>
  <si>
    <t xml:space="preserve">E0.5</t>
  </si>
  <si>
    <t xml:space="preserve">切 API gate：日单&gt;20 或人工错单率&gt;2% → 启动 4over API 对接</t>
  </si>
  <si>
    <t xml:space="preserve">API 对接启动</t>
  </si>
  <si>
    <t xml:space="preserve">设计协助路由（并行）</t>
  </si>
  <si>
    <t xml:space="preserve">定义三分支路由规则（供应商内部/供应商收费重绘/外部vendor）</t>
  </si>
  <si>
    <t xml:space="preserve">规则写入报告+RFQ模板</t>
  </si>
  <si>
    <t xml:space="preserve">E0.6·2026-07-04</t>
  </si>
  <si>
    <t xml:space="preserve">阶段3 RFQ 加入设计协助确认问题</t>
  </si>
  <si>
    <t xml:space="preserve">并入 E1 标准模板</t>
  </si>
  <si>
    <t xml:space="preserve">E0.6·已改 E1</t>
  </si>
  <si>
    <t xml:space="preserve">注册/测试 Penji Business 账号验证分支③交付质量</t>
  </si>
  <si>
    <t xml:space="preserve">首单样稿达标</t>
  </si>
  <si>
    <t xml:space="preserve">分支③主力候选</t>
  </si>
  <si>
    <t xml:space="preserve">实测 4 家已确认供应商（华鑫美/Best4U/HengLi/GuangzhouLabel）分支①②真实响应质量</t>
  </si>
  <si>
    <t xml:space="preserve">响应质量达标转入常态路由</t>
  </si>
  <si>
    <t xml:space="preserve">3 家未确认(Stickerhome/Zolo/JiangsuOPT)先按分支③处理</t>
  </si>
  <si>
    <t xml:space="preserve">供应链能力矩阵（找齐供应商之前先把「名单」拆成「矩阵」·7维框架·2026-07-03；操作衔接见报告 E 节）</t>
  </si>
  <si>
    <t xml:space="preserve">一、7 个能力维度（同一家厂很少全强——先列维度再回查名单缺哪格）</t>
  </si>
  <si>
    <t xml:space="preserve">维度</t>
  </si>
  <si>
    <t xml:space="preserve">一句话判据</t>
  </si>
  <si>
    <t xml:space="preserve">报告依据</t>
  </si>
  <si>
    <t xml:space="preserve">① 工艺 Process</t>
  </si>
  <si>
    <t xml:space="preserve">数码印刷(HP Indigo/UV数码)才做得了100张级小单；die-cut/kiss-cut/卷标(需分切收卷)/白墨/烫金开模各是独立能力</t>
  </si>
  <si>
    <t xml:space="preserve">A4·A3</t>
  </si>
  <si>
    <t xml:space="preserve">② 材质 Material</t>
  </si>
  <si>
    <t xml:space="preserve">vinyl/BOPP/kraft/全息/可堆肥面材+胶水系统（冷藏冷冻低温服帖性未测——已知缺口）</t>
  </si>
  <si>
    <t xml:space="preserve">A3</t>
  </si>
  <si>
    <t xml:space="preserve">③ 认证 Certification</t>
  </si>
  <si>
    <t xml:space="preserve">FSC/BPI/FDA迁移报告+设施级BRCGS/SQF；看「范围」（印刷成品vs原材）不只看logo</t>
  </si>
  <si>
    <t xml:space="preserve">A1.5·E阶段5</t>
  </si>
  <si>
    <t xml:space="preserve">④ 量级经济性 Scale</t>
  </si>
  <si>
    <t xml:space="preserve">500–2000张以下只有数码划算；阶梯价逐档要（500→2000总价近持平）；模费单独问</t>
  </si>
  <si>
    <t xml:space="preserve">A4.5·A2</t>
  </si>
  <si>
    <t xml:space="preserve">⑤ 系统对接 Ops</t>
  </si>
  <si>
    <t xml:space="preserve">文件自动化处理（能吃批量自动生成稿）+结构化下单接口——自助站命门</t>
  </si>
  <si>
    <t xml:space="preserve">E阶段3·E0.5</t>
  </si>
  <si>
    <t xml:space="preserve">⑥ 商业条款 Commercial</t>
  </si>
  <si>
    <t xml:space="preserve">付款条款/Incoterms/设计保密（留底转售=信任事故）/财务健康度</t>
  </si>
  <si>
    <t xml:space="preserve">E阶段6</t>
  </si>
  <si>
    <t xml:space="preserve">⑦ 履约适配 Fulfillment</t>
  </si>
  <si>
    <t xml:space="preserve">交期匹配三层拓扑量级分工；HTS归类与关税承担写进PI；索赔条款可仲裁</t>
  </si>
  <si>
    <t xml:space="preserve">E阶段7·8</t>
  </si>
  <si>
    <t xml:space="preserve">二、现有名单 × 矩阵覆盖度（●=实证 ◐=有条件/自报 ✗=不对口 ?=未提及未验证）</t>
  </si>
  <si>
    <t xml:space="preserve">供应商</t>
  </si>
  <si>
    <t xml:space="preserve">数码印刷</t>
  </si>
  <si>
    <t xml:space="preserve">食品接触材质</t>
  </si>
  <si>
    <t xml:space="preserve">环保/可堆肥</t>
  </si>
  <si>
    <t xml:space="preserve">特殊效果</t>
  </si>
  <si>
    <t xml:space="preserve">认证证据强度</t>
  </si>
  <si>
    <t xml:space="preserve">Playbook阶段</t>
  </si>
  <si>
    <t xml:space="preserve">判定</t>
  </si>
  <si>
    <t xml:space="preserve">Stickerhome/Singhong</t>
  </si>
  <si>
    <t xml:space="preserve">●实测</t>
  </si>
  <si>
    <t xml:space="preserve">?未提</t>
  </si>
  <si>
    <t xml:space="preserve">◐TÜV报告(FSC/FDA未见编号)</t>
  </si>
  <si>
    <t xml:space="preserve">3·待发RFQ</t>
  </si>
  <si>
    <t xml:space="preserve">唯一可直接发盘；年化仅~$60万·能力边界未知</t>
  </si>
  <si>
    <t xml:space="preserve">华鑫美 hxmpackge.com</t>
  </si>
  <si>
    <t xml:space="preserve">◐自相矛盾(称Indigo设备表无)</t>
  </si>
  <si>
    <t xml:space="preserve">◐自报无编号</t>
  </si>
  <si>
    <t xml:space="preserve">✗域名/成立年矛盾</t>
  </si>
  <si>
    <t xml:space="preserve">2·待补证据</t>
  </si>
  <si>
    <t xml:space="preserve">唯一食品级数码卷标候选；红旗未清先交三项编号</t>
  </si>
  <si>
    <t xml:space="preserve">hxcustomlabel(金之彩)</t>
  </si>
  <si>
    <t xml:space="preserve">✗传统凸印</t>
  </si>
  <si>
    <t xml:space="preserve">?3M未注FDA</t>
  </si>
  <si>
    <t xml:space="preserve">?未评估</t>
  </si>
  <si>
    <t xml:space="preserve">候补</t>
  </si>
  <si>
    <t xml:space="preserve">工艺不对口·做不了经济的&lt;100张短单</t>
  </si>
  <si>
    <t xml:space="preserve">Best4U</t>
  </si>
  <si>
    <t xml:space="preserve">?未注明</t>
  </si>
  <si>
    <t xml:space="preserve">●含BOPP/牛皮</t>
  </si>
  <si>
    <t xml:space="preserve">◐kraft非认证</t>
  </si>
  <si>
    <t xml:space="preserve">材质面广·资质全部待验证</t>
  </si>
  <si>
    <t xml:space="preserve">BookPrintingChina</t>
  </si>
  <si>
    <t xml:space="preserve">✗主业图书胶印</t>
  </si>
  <si>
    <t xml:space="preserve">✗无食品接触资质</t>
  </si>
  <si>
    <t xml:space="preserve">●FSC+BSCI+SMETA+G7</t>
  </si>
  <si>
    <t xml:space="preserve">✗不做</t>
  </si>
  <si>
    <t xml:space="preserve">●四项可查</t>
  </si>
  <si>
    <t xml:space="preserve">合规备选</t>
  </si>
  <si>
    <t xml:space="preserve">认证最强但工艺不对口</t>
  </si>
  <si>
    <t xml:space="preserve">Canfei 灿飞</t>
  </si>
  <si>
    <t xml:space="preserve">●全息防伪专项</t>
  </si>
  <si>
    <t xml:space="preserve">仅专项询价</t>
  </si>
  <si>
    <t xml:space="preserve">单点能力·非全能供应商</t>
  </si>
  <si>
    <t xml:space="preserve">上海宇才</t>
  </si>
  <si>
    <t xml:space="preserve">◐声称未证实</t>
  </si>
  <si>
    <t xml:space="preserve">✗无</t>
  </si>
  <si>
    <t xml:space="preserve">未进RFQ池</t>
  </si>
  <si>
    <t xml:space="preserve">$0.009系起批噱头·需重新议价验证</t>
  </si>
  <si>
    <t xml:space="preserve">实体去重提醒：Shenzhen Gathe(价格锚点)≠Gathe嘉特(不发盘)；上海宇才≠Shenzhen Yucai Packing——发盘前先核清身份</t>
  </si>
  <si>
    <t xml:space="preserve">三、矩阵里完全空白的 4 格（0/12）</t>
  </si>
  <si>
    <t xml:space="preserve">空格</t>
  </si>
  <si>
    <t xml:space="preserve">现状</t>
  </si>
  <si>
    <t xml:space="preserve">指派动作</t>
  </si>
  <si>
    <t xml:space="preserve">BPI认证可堆肥标签材料</t>
  </si>
  <si>
    <t xml:space="preserve">全美在证定制胶粘标签为零(A1.5)·中国侧无人验证</t>
  </si>
  <si>
    <t xml:space="preserve">先用EN13432+ASTM声称材料试卖·验证付费意愿再评估·非急</t>
  </si>
  <si>
    <t xml:space="preserve">食品级HP Indigo数码卷标</t>
  </si>
  <si>
    <t xml:space="preserve">0/12确证·华鑫美唯一候选且红旗未清</t>
  </si>
  <si>
    <t xml:space="preserve">华南Indigo装机圈层实地RFQ·补第二候选</t>
  </si>
  <si>
    <t xml:space="preserve">BRCGS/SQF设施认证</t>
  </si>
  <si>
    <t xml:space="preserve">0/12被问过——本轮分析盲区而非供应商缺陷</t>
  </si>
  <si>
    <t xml:space="preserve">并入阶段5索证清单·成本=多问一句话</t>
  </si>
  <si>
    <t xml:space="preserve">美国本土POD白牌(4over等)</t>
  </si>
  <si>
    <t xml:space="preserve">不在中国12家名单内·&lt;100张永久履约层全靠它</t>
  </si>
  <si>
    <t xml:space="preserve">4over注册=判死线H1·与中国寻源并行不排后</t>
  </si>
  <si>
    <t xml:space="preserve">四、评分卡 v2 追加项（线上自助下单业态特有；详见报告 E 阶段 2）</t>
  </si>
  <si>
    <t xml:space="preserve">追加项</t>
  </si>
  <si>
    <t xml:space="preserve">性质</t>
  </si>
  <si>
    <t xml:space="preserve">要点</t>
  </si>
  <si>
    <t xml:space="preserve">文件自动化处理</t>
  </si>
  <si>
    <t xml:space="preserve">计分</t>
  </si>
  <si>
    <t xml:space="preserve">埋点文件实测结果单独计分·不与响应速度混算</t>
  </si>
  <si>
    <t xml:space="preserve">API/系统对接</t>
  </si>
  <si>
    <t xml:space="preserve">结构化下单接口(哪怕规范化Excel/Webhook)·无它智能路由=人肉</t>
  </si>
  <si>
    <t xml:space="preserve">认证看范围</t>
  </si>
  <si>
    <t xml:space="preserve">计分细化</t>
  </si>
  <si>
    <t xml:space="preserve">BPI须覆盖含油墨涂层成品·FDA报告写明测试对象</t>
  </si>
  <si>
    <t xml:space="preserve">食品客户前置门槛</t>
  </si>
  <si>
    <t xml:space="preserve">GFSI认可设施级体系·与FDA材料报告互补</t>
  </si>
  <si>
    <t xml:space="preserve">供应商集中度</t>
  </si>
  <si>
    <t xml:space="preserve">风险减分</t>
  </si>
  <si>
    <t xml:space="preserve">仅1家可发盘=单一供应商风险·70/30双供应商暂系空转条款</t>
  </si>
  <si>
    <t xml:space="preserve">客户设计保密</t>
  </si>
  <si>
    <t xml:space="preserve">一票否决级</t>
  </si>
  <si>
    <t xml:space="preserve">留底/转售=DTC信任事故·写进E1询盘信与PI第10项</t>
  </si>
  <si>
    <t xml:space="preserve">五、扩充池候选覆盖度（2026-07-03 线上初筛级·仅 PASS 且 ≥55 分并入；列同第二节：●实证 ◐自报/间接 ✗无 ?未知）</t>
  </si>
  <si>
    <t xml:space="preserve">Heng Li Label（烟台·64分）</t>
  </si>
  <si>
    <t xml:space="preserve">◐ 档案称含数码产线·设备未实见</t>
  </si>
  <si>
    <t xml:space="preserve">◐ FDA/GMP/EU仅listing自述无编号</t>
  </si>
  <si>
    <t xml:space="preserve">✗</t>
  </si>
  <si>
    <t xml:space="preserve">● 镭射BOPP·珠光膜·防伪/模内标实见</t>
  </si>
  <si>
    <t xml:space="preserve">◐ MIC钻石+SGS平台审核·ISO无编号</t>
  </si>
  <si>
    <t xml:space="preserve">阶段2全筛（优先排程）</t>
  </si>
  <si>
    <t xml:space="preserve">扩充池最高分·食品接触格唯一自报级候补·签约前须锁定双主体法人</t>
  </si>
  <si>
    <t xml:space="preserve">Guangzhou Label Printing（62分）</t>
  </si>
  <si>
    <t xml:space="preserve">◐ MOQ1件起旁证短单能力·数码设备未实证</t>
  </si>
  <si>
    <t xml:space="preserve">◐ 主打食品饮料标签·无FDA/迁移测试证据</t>
  </si>
  <si>
    <t xml:space="preserve">● 压纹铝标·烫印·收缩套标实见</t>
  </si>
  <si>
    <t xml:space="preserve">◐ 钻石5年+Audited证实·SGS/ISO字样无编号</t>
  </si>
  <si>
    <t xml:space="preserve">gd主力·邮箱电话联系人可核·产能两套口径待询证</t>
  </si>
  <si>
    <t xml:space="preserve">Shenzhen Dir（61分）</t>
  </si>
  <si>
    <t xml:space="preserve">◐ UV轮转/柔印宣称·未点名数码机·MOQ1件旁证</t>
  </si>
  <si>
    <t xml:space="preserve">◐ 食品标签品类在列·无合规证据</t>
  </si>
  <si>
    <t xml:space="preserve">● 全息/防伪/烫金标签实见</t>
  </si>
  <si>
    <t xml:space="preserve">◐ Alibaba实地认证+金品8年·无第三方编号</t>
  </si>
  <si>
    <t xml:space="preserve">gd池报价最透明·阶梯价页面实见·多分店需并主体</t>
  </si>
  <si>
    <t xml:space="preserve">Shenzhen Zolo（58分）</t>
  </si>
  <si>
    <t xml:space="preserve">? 印刷设备未披露</t>
  </si>
  <si>
    <t xml:space="preserve">◐ 可降解标签产品线宣称·无认证</t>
  </si>
  <si>
    <t xml:space="preserve">● VOID/全息/蛋壳纸带实价实见</t>
  </si>
  <si>
    <t xml:space="preserve">◐ ISO9001:2015+REACH证书图·无编号</t>
  </si>
  <si>
    <t xml:space="preserve">阶段2全筛</t>
  </si>
  <si>
    <t xml:space="preserve">specialty防伪主力·直接补矩阵特殊效果空格</t>
  </si>
  <si>
    <t xml:space="preserve">Zhongshan Panda（56分）</t>
  </si>
  <si>
    <t xml:space="preserve">◐ 6台HP Indigo宣称·产品页digital printing佐证</t>
  </si>
  <si>
    <t xml:space="preserve">◐ FSC材料/环保油墨宣称无编号</t>
  </si>
  <si>
    <t xml:space="preserve">● 全息/镭射贴纸品类实见</t>
  </si>
  <si>
    <t xml:space="preserve">◐ FSC/RoHS无编号·Trade Assurance间接佐证</t>
  </si>
  <si>
    <t xml:space="preserve">MOQ500与报价带三方可核·低价档为引流需询证</t>
  </si>
  <si>
    <t xml:space="preserve">Dongguan Junye（55分）</t>
  </si>
  <si>
    <t xml:space="preserve">✗ 仅轮转+胶印·数码短单存疑</t>
  </si>
  <si>
    <t xml:space="preserve">◐ FSC文字自述无编号</t>
  </si>
  <si>
    <t xml:space="preserve">● 3D滴胶贴纸带实价实见</t>
  </si>
  <si>
    <t xml:space="preserve">◐ ISO9001/FSC自述·无编号无徽章</t>
  </si>
  <si>
    <t xml:space="preserve">大批量适配·小批打样能力与数码缺口待询证</t>
  </si>
  <si>
    <t xml:space="preserve">BRCGS/SQF 目录直查：扩充池 24 家均无收录（含全部 food-grade 候选）——该格仍空但已从「没问过」升级为「查过没有」；eco 格 0 家通过</t>
  </si>
  <si>
    <t xml:space="preserve">六、Accio 猎源批次核验（2026-07-03·用户提供 10 家 Accio AI sourcing 候选；核心目的=补 T11儿童贴纸/T13工业耐久 两条线索）</t>
  </si>
  <si>
    <t xml:space="preserve">候选</t>
  </si>
  <si>
    <t xml:space="preserve">Jiangsu OPT（40分）</t>
  </si>
  <si>
    <t xml:space="preserve">◐ HP Indigo 6.90+柔印宣称·未逐项实见</t>
  </si>
  <si>
    <t xml:space="preserve">● 食品饮料化妆品保健品标签为主打品类</t>
  </si>
  <si>
    <t xml:space="preserve">● UL File MH60774经UL Prospector官方库实证(组件级非成品)·其余ISO/SGS/FSC/Disney均自报无编号</t>
  </si>
  <si>
    <t xml:space="preserve">T13工业/品牌标签候选成立·本轮唯一实证安全认证</t>
  </si>
  <si>
    <t xml:space="preserve">Guangdong Boyue（38分）</t>
  </si>
  <si>
    <t xml:space="preserve">● 数码印刷+UV覆膜实见</t>
  </si>
  <si>
    <t xml:space="preserve">● 烫金planner贴·和纸胶带实见</t>
  </si>
  <si>
    <t xml:space="preserve">● FSC-C167554经FSC官方库实证(纸材供应链非安全认证)·Sedex/RoHS自报</t>
  </si>
  <si>
    <t xml:space="preserve">与超雅系近似命名易混·自身5+店铺需防重复报价</t>
  </si>
  <si>
    <t xml:space="preserve">CPC/T11儿童贴纸核验结论：Accio标注的Stonedoing与Geyu两家CPC均为零实见证据（无证书图/编号/CPSC认可实验室测试报告）——不采信、不并入矩阵候选；T11空格仍为「查过没有」状态，未升级为「有候选」</t>
  </si>
  <si>
    <t xml:space="preserve">建联方式（12 家实核供应商微信/即时通道扫描·2026-07-03；扩充池候选扫描后追加于下方；二维码图片存 wechat-qr/ 文件夹）</t>
  </si>
  <si>
    <t xml:space="preserve">供应商</t>
  </si>
  <si>
    <t xml:space="preserve">层级</t>
  </si>
  <si>
    <t xml:space="preserve">微信(号或加法)</t>
  </si>
  <si>
    <t xml:space="preserve">手机·WhatsApp</t>
  </si>
  <si>
    <t xml:space="preserve">邮箱</t>
  </si>
  <si>
    <t xml:space="preserve">其它通道</t>
  </si>
  <si>
    <t xml:space="preserve">来源页</t>
  </si>
  <si>
    <t xml:space="preserve">一句话怎么加最快</t>
  </si>
  <si>
    <t xml:space="preserve">Stickerhome/中山Singhong</t>
  </si>
  <si>
    <t xml:space="preserve">RFQ首发</t>
  </si>
  <si>
    <t xml:space="preserve">未公开·经Alibaba站内chat索要微信号或二维码</t>
  </si>
  <si>
    <t xml:space="preserve">无·全站未公开手机/WhatsApp（抓到的11位数字系页面内部ID·非电话）</t>
  </si>
  <si>
    <t xml:space="preserve">—（仅Alibaba站内）</t>
  </si>
  <si>
    <t xml:space="preserve">Alibaba站内chat（Contact Supplier/TradeManager）·RFQ已有会话可直接续聊</t>
  </si>
  <si>
    <t xml:space="preserve">https://zssinghong.en.alibaba.com/contactinfo.html</t>
  </si>
  <si>
    <t xml:space="preserve">在RFQ会话里直接发消息索要微信号/二维码·最快</t>
  </si>
  <si>
    <t xml:space="preserve">华鑫美 Huaxinmei</t>
  </si>
  <si>
    <t xml:space="preserve">有条件</t>
  </si>
  <si>
    <t xml:space="preserve">未明示·可用手机号18680366752在微信搜索添加（未验证同号）</t>
  </si>
  <si>
    <t xml:space="preserve">+86 18680366752（电话/WhatsApp同号·24/7）</t>
  </si>
  <si>
    <t xml:space="preserve">hxmdlz@hxmpackage.com</t>
  </si>
  <si>
    <t xml:space="preserve">WhatsApp直链 api.whatsapp.com/send?phone=+8618680366752·Alibaba店铺 lable.en.alibaba.com 站内chat·Instagram @huaxinmei_printing</t>
  </si>
  <si>
    <t xml:space="preserve">https://hxmpackge.com/contacts-us/</t>
  </si>
  <si>
    <t xml:space="preserve">微信搜手机号18680366752添加·同时WhatsApp直聊索要微信</t>
  </si>
  <si>
    <t xml:space="preserve">BookPrintingChina</t>
  </si>
  <si>
    <t xml:space="preserve">合规备选</t>
  </si>
  <si>
    <t xml:space="preserve">未公开·可试搜手机号15113794090（Lynn）或17817669980（Freya）·网站支持WeChat Pay说明有微信账户</t>
  </si>
  <si>
    <t xml:space="preserve">+86 15113794090（主号·Lynn）·+86 17817669980（WhatsApp·Freya）</t>
  </si>
  <si>
    <t xml:space="preserve">sales@bookprintingchina.com（1-2小时回复）</t>
  </si>
  <si>
    <t xml:space="preserve">网站在线表单·Facebook/Instagram/TikTok/YouTube/LinkedIn</t>
  </si>
  <si>
    <t xml:space="preserve">https://www.bookprintingchina.com/contact-us</t>
  </si>
  <si>
    <t xml:space="preserve">微信「添加朋友→搜手机号」试15113794090·搜不到就WhatsApp/邮件索要微信</t>
  </si>
  <si>
    <t xml:space="preserve">hxcustomlabel/深圳金之彩</t>
  </si>
  <si>
    <t xml:space="preserve">候补</t>
  </si>
  <si>
    <t xml:space="preserve">未明示·可试搜手机号18588530785（未验证同号）</t>
  </si>
  <si>
    <t xml:space="preserve">+86 18588530785（电话/传真/WhatsApp同一号码）</t>
  </si>
  <si>
    <t xml:space="preserve">mandy@hxcustomlabel.com</t>
  </si>
  <si>
    <t xml:space="preserve">WhatsApp +86 18588530785·网站Inquiry表单 hxcustomlabel.com/inquiry</t>
  </si>
  <si>
    <t xml:space="preserve">https://www.hxcustomlabel.com/contact-us</t>
  </si>
  <si>
    <t xml:space="preserve">微信搜18588530785·不行则WhatsApp直聊或邮件mandy@索要微信</t>
  </si>
  <si>
    <t xml:space="preserve">Stickers Manufacturer</t>
  </si>
  <si>
    <t xml:space="preserve">未标注·可试搜手机号13267122619（未验证）</t>
  </si>
  <si>
    <t xml:space="preserve">+86 13267122619（页面WhatsApp仅为分享按钮插件·非联系号）</t>
  </si>
  <si>
    <t xml:space="preserve">sales@stickersmanufacturer.com</t>
  </si>
  <si>
    <t xml:space="preserve">网站联系表单（承诺30分钟内回复）·未找到Alibaba店铺</t>
  </si>
  <si>
    <t xml:space="preserve">https://stickersmanufacturer.com/contact/</t>
  </si>
  <si>
    <t xml:space="preserve">微信搜13267122619·同时发邮件sales@索要微信双保险</t>
  </si>
  <si>
    <t xml:space="preserve">Best4U</t>
  </si>
  <si>
    <t xml:space="preserve">✅已拿到官网微信二维码（wechat-qr/best4u.jpg·已验证带微信logo）·直接扫码</t>
  </si>
  <si>
    <t xml:space="preserve">+86 15817421815（未明示微信同号·可试搜索）·座机 +86 755 27217475</t>
  </si>
  <si>
    <t xml:space="preserve">emily@best4u-tech.com</t>
  </si>
  <si>
    <t xml:space="preserve">Facebook·Instagram（emilybest4u）·YouTube·LinkedIn</t>
  </si>
  <si>
    <t xml:space="preserve">https://www.best4u-tech.com</t>
  </si>
  <si>
    <t xml:space="preserve">打开已存二维码图扫码添加·备用微信搜15817421815</t>
  </si>
  <si>
    <t xml:space="preserve">上海宇才 Shanghai Yucai</t>
  </si>
  <si>
    <t xml:space="preserve">未公开·可试搜手机号13761220973（未验证同号）</t>
  </si>
  <si>
    <t xml:space="preserve">+86 137 6122 0973（官网明示WhatsApp同号）</t>
  </si>
  <si>
    <t xml:space="preserve">sales@yucai-printing.com</t>
  </si>
  <si>
    <t xml:space="preserve">WhatsApp直链 api.whatsapp.com/send?l=en&amp;phone=8613761220973·官网询盘表单 /inquiry</t>
  </si>
  <si>
    <t xml:space="preserve">https://www.yucai-printing.com/contact-us</t>
  </si>
  <si>
    <t xml:space="preserve">微信搜13761220973·不行则WhatsApp或邮件索要微信</t>
  </si>
  <si>
    <t xml:space="preserve">Shenzhen Yucai Packing</t>
  </si>
  <si>
    <t xml:space="preserve">未公开·可试搜手机号15989481348（Phil Chen·未验证同号）</t>
  </si>
  <si>
    <t xml:space="preserve">手机 15989481348（Phil Chen 销售经理）·座机 86-755-36850817</t>
  </si>
  <si>
    <t xml:space="preserve">yucaiprinting@163.com（Alibaba首页提取）</t>
  </si>
  <si>
    <t xml:space="preserve">Alibaba站内chat（szyucai88.en.alibaba.com）·goldsupplier页面有WhatsApp/WeChat/Telegram入口但未公开号码</t>
  </si>
  <si>
    <t xml:space="preserve">https://szyucai.goldsupplier.com/contacts.html</t>
  </si>
  <si>
    <t xml:space="preserve">微信搜15989481348·同时Alibaba站内信或邮件索要微信</t>
  </si>
  <si>
    <t xml:space="preserve">Canfei 灿飞</t>
  </si>
  <si>
    <t xml:space="preserve">专项(全息防伪)</t>
  </si>
  <si>
    <t xml:space="preserve">未明示·可试搜手机号18938035880（未验证同号）</t>
  </si>
  <si>
    <t xml:space="preserve">+86 18938035880（Tel/WhatsApp同号）·座机 +86-755-85221289</t>
  </si>
  <si>
    <t xml:space="preserve">sophie@canfeicn.com·canfei@paperboxsupply.com</t>
  </si>
  <si>
    <t xml:space="preserve">WhatsApp +86-189-3803-5880·Skype canfeipacking-sophie/canfeipacking·姊妹站 paperboxsupply.com</t>
  </si>
  <si>
    <t xml:space="preserve">https://www.canfeicn.com/contact-us.html</t>
  </si>
  <si>
    <t xml:space="preserve">微信搜18938035880·或先WhatsApp/邮件联系Sophie索要微信</t>
  </si>
  <si>
    <t xml:space="preserve">YYOYIART</t>
  </si>
  <si>
    <t xml:space="preserve">不发盘·备查</t>
  </si>
  <si>
    <t xml:space="preserve">未找到任何微信加法·需邮件/表单索要</t>
  </si>
  <si>
    <t xml:space="preserve">无（页面"WhatsApp"仅为Elementor分享按钮配置·非真实号）</t>
  </si>
  <si>
    <t xml:space="preserve">customcrafts@yyoyiart.com</t>
  </si>
  <si>
    <t xml:space="preserve">网站联系表单·Facebook（YYOYIART）·Instagram @yyoyiart·YouTube·未找到Alibaba店铺</t>
  </si>
  <si>
    <t xml:space="preserve">https://www.yyoyiart.com/contact/</t>
  </si>
  <si>
    <t xml:space="preserve">先邮件customcrafts@或站内表单索要微信号（无直连通道）</t>
  </si>
  <si>
    <t xml:space="preserve">Gathe 嘉特</t>
  </si>
  <si>
    <t xml:space="preserve">未明示·可试搜手机号13168096738（未验证同号）</t>
  </si>
  <si>
    <t xml:space="preserve">+86 13168096738·+86 13005492858（均为WhatsApp号）</t>
  </si>
  <si>
    <t xml:space="preserve">gathe-service06@hkgathe.com·miya.dai@hkgathe.com</t>
  </si>
  <si>
    <t xml:space="preserve">WhatsApp wa.me/8613168096738·wa.me/8613005492858·Alibaba站内chat（gathe.en.alibaba.com）·TikTok @gatheprinting</t>
  </si>
  <si>
    <t xml:space="preserve">https://hkgathe.com/</t>
  </si>
  <si>
    <t xml:space="preserve">微信搜13168096738·WhatsApp直连兜底</t>
  </si>
  <si>
    <t xml:space="preserve">Jabay</t>
  </si>
  <si>
    <t xml:space="preserve">无手机号可搜·需邮件/表单索要微信</t>
  </si>
  <si>
    <t xml:space="preserve">仅座机 +86-574-88466736·0086-574-88217732（非手机号·无法搜索加微信）</t>
  </si>
  <si>
    <t xml:space="preserve">info@jabaygames.com·jabay@nbjabay.com·nbjabay@qq.com</t>
  </si>
  <si>
    <t xml:space="preserve">官网询价表单·Facebook jabaycrafts·LinkedIn jabaycrafts·made-in-china展厅 nbjabay 站内chat</t>
  </si>
  <si>
    <t xml:space="preserve">https://www.jabaygames.com/contact/</t>
  </si>
  <si>
    <t xml:space="preserve">先邮件info@jabaygames.com或官网表单索要微信</t>
  </si>
  <si>
    <t xml:space="preserve">扩充池候选（2026-07-03 线上初筛·微信通道扫描：10 家官网逐家扫 + 2 家平台档案明示；✅=明示微信或二维码已存图）</t>
  </si>
  <si>
    <t xml:space="preserve">Guangzhou Horizon 广州豪镒</t>
  </si>
  <si>
    <t xml:space="preserve">扩充池PASS·43分</t>
  </si>
  <si>
    <t xml:space="preserve">✅官网微信二维码已存图（wechat-qr/horizon.png·图注「扫一扫加我微信」已验真）·另contact页1839567389标WeChat与QQ同号疑误标</t>
  </si>
  <si>
    <t xml:space="preserve">+86 18664885050·15918824265·19925862305（均未明示微信同号）</t>
  </si>
  <si>
    <t xml:space="preserve">horizon@hlabel.com·stevenpu@hlabel.com</t>
  </si>
  <si>
    <t xml:space="preserve">QQ 1839567389·座机 020-32226973·无WhatsApp</t>
  </si>
  <si>
    <t xml:space="preserve">hlabel.com/article/WeChat.html</t>
  </si>
  <si>
    <t xml:space="preserve">扫已存二维码最快·备用微信搜18664885050</t>
  </si>
  <si>
    <t xml:space="preserve">Shenzhen Zolo 中诺</t>
  </si>
  <si>
    <t xml:space="preserve">扩充池PASS·58分</t>
  </si>
  <si>
    <t xml:space="preserve">✅官网明示 +86 147 7588 7146「WhatsApp/Wechat」=微信同号</t>
  </si>
  <si>
    <t xml:space="preserve">+86 147 7588 7146·座机 0755-23500552</t>
  </si>
  <si>
    <t xml:space="preserve">zolopackaging@outlook.com</t>
  </si>
  <si>
    <t xml:space="preserve">WhatsApp同号</t>
  </si>
  <si>
    <t xml:space="preserve">voidmaterial.com/contact_us.html</t>
  </si>
  <si>
    <t xml:space="preserve">微信搜14775887146（官网明示同号·最稳）</t>
  </si>
  <si>
    <t xml:space="preserve">Guangzhou Label Printing</t>
  </si>
  <si>
    <t xml:space="preserve">扩充池PASS·62分</t>
  </si>
  <si>
    <t xml:space="preserve">✅MIC档案明示 +86-134-1322-3940 为「电话/WhatsApp/微信」·联系人Phoenix</t>
  </si>
  <si>
    <t xml:space="preserve">+86-134-1322-3940</t>
  </si>
  <si>
    <t xml:space="preserve">sales@guangzhoulabel.com</t>
  </si>
  <si>
    <t xml:space="preserve">MIC站内chat</t>
  </si>
  <si>
    <t xml:space="preserve">gzlabel.en.made-in-china.com</t>
  </si>
  <si>
    <t xml:space="preserve">微信搜13413223940（档案明示）</t>
  </si>
  <si>
    <t xml:space="preserve">Dongguan Hengping 东莞恒平</t>
  </si>
  <si>
    <t xml:space="preserve">扩充池UNCERTAIN·51分</t>
  </si>
  <si>
    <t xml:space="preserve">✅官网明示 +86-15019160502 电话/WhatsApp/微信</t>
  </si>
  <si>
    <t xml:space="preserve">+86-15019160502</t>
  </si>
  <si>
    <t xml:space="preserve">站内邮箱被脱敏未取到</t>
  </si>
  <si>
    <t xml:space="preserve">Alibaba店 hengpingindustry</t>
  </si>
  <si>
    <t xml:space="preserve">hengping-industry.com</t>
  </si>
  <si>
    <t xml:space="preserve">微信搜15019160502（官网明示）</t>
  </si>
  <si>
    <t xml:space="preserve">Heng Li 烟台亨利</t>
  </si>
  <si>
    <t xml:space="preserve">扩充池PASS·64分（最高分）</t>
  </si>
  <si>
    <t xml:space="preserve">无手机号——全站仅座机·先邮件/电话索要业务员微信</t>
  </si>
  <si>
    <t xml:space="preserve">座机 +86-535-2130213/2130223</t>
  </si>
  <si>
    <t xml:space="preserve">general@henglilabel.com</t>
  </si>
  <si>
    <t xml:space="preserve">传真 0535-2132213</t>
  </si>
  <si>
    <t xml:space="preserve">henglilabel.com/col.jsp?id=102</t>
  </si>
  <si>
    <t xml:space="preserve">先邮件或打座机要业务员微信（英文模板见下）</t>
  </si>
  <si>
    <t xml:space="preserve">Weifang Xinxing 潍坊鑫兴</t>
  </si>
  <si>
    <t xml:space="preserve">扩充池PASS·44分</t>
  </si>
  <si>
    <t xml:space="preserve">未明示·可试搜13561400206（未验证）</t>
  </si>
  <si>
    <t xml:space="preserve">+86-135-6140-0206（电话/WhatsApp）</t>
  </si>
  <si>
    <t xml:space="preserve">support@xinxinglabel.com</t>
  </si>
  <si>
    <t xml:space="preserve">网站WhatsApp挂件</t>
  </si>
  <si>
    <t xml:space="preserve">xinxinglabel.com/contact</t>
  </si>
  <si>
    <t xml:space="preserve">微信搜13561400206·或WhatsApp先聊</t>
  </si>
  <si>
    <t xml:space="preserve">Foshan IDG Labels 佛山</t>
  </si>
  <si>
    <t xml:space="preserve">扩充池UNCERTAIN·42分</t>
  </si>
  <si>
    <t xml:space="preserve">未明示·可试搜13925997550（未验证）</t>
  </si>
  <si>
    <t xml:space="preserve">+86-13925997550</t>
  </si>
  <si>
    <t xml:space="preserve">bennisy@idglabels.com·bennisy@163.com</t>
  </si>
  <si>
    <t xml:space="preserve">留言表单·多社媒</t>
  </si>
  <si>
    <t xml:space="preserve">idglabelpack.com/Contact/2665.html</t>
  </si>
  <si>
    <t xml:space="preserve">微信搜13925997550·备用邮箱</t>
  </si>
  <si>
    <t xml:space="preserve">Shanghai Rightint 上海睿印</t>
  </si>
  <si>
    <t xml:space="preserve">未明示·可试搜13625540298（未验证）</t>
  </si>
  <si>
    <t xml:space="preserve">+86-13625540298</t>
  </si>
  <si>
    <t xml:space="preserve">页面邮箱混淆·需人工打开查看</t>
  </si>
  <si>
    <t xml:space="preserve">多社媒（IG/FB/LinkedIn等）</t>
  </si>
  <si>
    <t xml:space="preserve">rightint.com/Contact-us</t>
  </si>
  <si>
    <t xml:space="preserve">微信搜13625540298</t>
  </si>
  <si>
    <t xml:space="preserve">Maysun Group 中山</t>
  </si>
  <si>
    <t xml:space="preserve">扩充池UNCERTAIN·37分</t>
  </si>
  <si>
    <t xml:space="preserve">未明示·可试搜18819122924（未验证）</t>
  </si>
  <si>
    <t xml:space="preserve">+8618819122924（WhatsApp同号）</t>
  </si>
  <si>
    <t xml:space="preserve">info@chinastickerprinting.com</t>
  </si>
  <si>
    <t xml:space="preserve">询价表单</t>
  </si>
  <si>
    <t xml:space="preserve">chinastickerprinting.com/Contact-us.html</t>
  </si>
  <si>
    <t xml:space="preserve">微信搜18819122924·WhatsApp兜底</t>
  </si>
  <si>
    <t xml:space="preserve">SunTop Printing 深圳</t>
  </si>
  <si>
    <t xml:space="preserve">扩充池UNCERTAIN·36分</t>
  </si>
  <si>
    <t xml:space="preserve">未明示·可试搜13927427509（Eric·未验证）</t>
  </si>
  <si>
    <t xml:space="preserve">+86-13927427509</t>
  </si>
  <si>
    <t xml:space="preserve">eric@suntopprint.com</t>
  </si>
  <si>
    <t xml:space="preserve">报价表单（承诺4工作小时回复）</t>
  </si>
  <si>
    <t xml:space="preserve">suntopprint.com/contact</t>
  </si>
  <si>
    <t xml:space="preserve">微信搜13927427509</t>
  </si>
  <si>
    <t xml:space="preserve">JinXinCai 金新彩</t>
  </si>
  <si>
    <t xml:space="preserve">扩充池UNCERTAIN·34分</t>
  </si>
  <si>
    <t xml:space="preserve">无+86手机号·仅美国WhatsApp——先WhatsApp/邮件索要微信</t>
  </si>
  <si>
    <t xml:space="preserve">WhatsApp +1-6176376660</t>
  </si>
  <si>
    <t xml:space="preserve">jinxincai@ownlybrand.com</t>
  </si>
  <si>
    <t xml:space="preserve">网站表单</t>
  </si>
  <si>
    <t xml:space="preserve">customprintingco.com/contact</t>
  </si>
  <si>
    <t xml:space="preserve">WhatsApp先联系再索要微信</t>
  </si>
  <si>
    <t xml:space="preserve">Shenzhen QSL 乾顺隆</t>
  </si>
  <si>
    <t xml:space="preserve">扩充池UNCERTAIN·30分</t>
  </si>
  <si>
    <t xml:space="preserve">未明示·可试搜17748688952或18124622884（未验证）</t>
  </si>
  <si>
    <t xml:space="preserve">+8617748688952·+8618124622884（WhatsApp）</t>
  </si>
  <si>
    <t xml:space="preserve">2168756740@qq.com·Yukizeng84@gmail.com</t>
  </si>
  <si>
    <t xml:space="preserve">询价表单·Facebook</t>
  </si>
  <si>
    <t xml:space="preserve">qslprinting.net/contact-us</t>
  </si>
  <si>
    <t xml:space="preserve">微信搜17748688952·WhatsApp兜底</t>
  </si>
  <si>
    <t xml:space="preserve">其余 12 家扩充候选（Dir·Panda·Junye·ZHK·Jinfeng·Topcheer·Lingdu·Caihe·Charmza·Shengcai·Pure·AP Label）</t>
  </si>
  <si>
    <t xml:space="preserve">扩充池</t>
  </si>
  <si>
    <t xml:space="preserve">仅Alibaba/MIC站内询盘（无独立官网或联系方式被平台脱敏）</t>
  </si>
  <si>
    <t xml:space="preserve">见「供应商shortlist」扩充池段</t>
  </si>
  <si>
    <t xml:space="preserve">同左</t>
  </si>
  <si>
    <t xml:space="preserve">平台站内chat</t>
  </si>
  <si>
    <t xml:space="preserve">各店铺页见shortlist扩充池段</t>
  </si>
  <si>
    <t xml:space="preserve">站内询盘开场即索要微信（注意平台关键词拦截·说法见实操提示4）</t>
  </si>
  <si>
    <t xml:space="preserve">加友验证话术（≤45字）</t>
  </si>
  <si>
    <t xml:space="preserve">您好，我是美国DTC品牌采购Daniel，想询价定制贴纸订单，加微信详聊，谢谢！</t>
  </si>
  <si>
    <t xml:space="preserve">索要微信英文模板</t>
  </si>
  <si>
    <t xml:space="preserve">Hi, this is Daniel, purchasing for a US-based DTC brand — we're moving forward with a custom sticker order and would love to discuss specs and pricing more efficiently. Could you share your WeChat ID or QR code so we can chat directly? WhatsApp also works if that's easier for you.（中文：方便的话请直接发我微信号或二维码，微信上细聊询价更快，谢谢！）</t>
  </si>
  <si>
    <t xml:space="preserve">实操提示 1</t>
  </si>
  <si>
    <t xml:space="preserve">手机号搜索受对方隐私开关限制：对方须开启「可通过手机号搜索到我」——搜不到≠没微信；24h内勿对同一号反复发申请（易触发风控），搜不到就转WhatsApp/邮件索要号或二维码</t>
  </si>
  <si>
    <t xml:space="preserve">实操提示 2</t>
  </si>
  <si>
    <t xml:space="preserve">时差与时机：中国外贸销售一般北京时间9:00–18:30在线（=美西前一天18:00–次日3:30）；美西下午5–8点发加友申请命中率最高·次日早查回复</t>
  </si>
  <si>
    <t xml:space="preserve">实操提示 3</t>
  </si>
  <si>
    <t xml:space="preserve">提高通过率：验证语写明「美国采购+询价」身份；头像昵称商务化；通过后第一条消息直接带品名/数量/材质（3寸圆·哑膜·500/2000/10000三档），不要只发Hi</t>
  </si>
  <si>
    <t xml:space="preserve">实操提示 4</t>
  </si>
  <si>
    <t xml:space="preserve">平台chat转微信：Alibaba站内直发"WeChat"等关键词可能被拦截/降权——改说"Could we continue on your preferred IM? Here is my number: +1-xxx"或请对方发电子名片；关键报价条款留一份在站内聊天记录里，保住Trade Assurance依据</t>
  </si>
  <si>
    <t xml:space="preserve">竞品对照（购买流程/UX·定价机制·proof·复购·2026-07-04 新增"无设计怎么办"维度：12家竞品实测，人工设计协助是真正标配83%，在线设计画布仅42%且多数为上传预览非从零画布，成品模板库仅33%，AI辅助仅8%接近空白）</t>
  </si>
  <si>
    <t xml:space="preserve">玩家</t>
  </si>
  <si>
    <t xml:space="preserve">类型</t>
  </si>
  <si>
    <t xml:space="preserve">定位/目标</t>
  </si>
  <si>
    <t xml:space="preserve">MOQ</t>
  </si>
  <si>
    <t xml:space="preserve">起价感觉</t>
  </si>
  <si>
    <t xml:space="preserve">在线编辑器/模板库</t>
  </si>
  <si>
    <t xml:space="preserve">无设计怎么办(人工协助)</t>
  </si>
  <si>
    <t xml:space="preserve">报价方式</t>
  </si>
  <si>
    <t xml:space="preserve">proof机制</t>
  </si>
  <si>
    <t xml:space="preserve">扣款时点</t>
  </si>
  <si>
    <t xml:space="preserve">值得偷师 / 主要摩擦</t>
  </si>
  <si>
    <t xml:space="preserve">Sticker Mule</t>
  </si>
  <si>
    <t xml:space="preserve">专门站</t>
  </si>
  <si>
    <t xml:space="preserve">创作者/小商家</t>
  </si>
  <si>
    <t xml:space="preserve">50(样10)</t>
  </si>
  <si>
    <t xml:space="preserve">高</t>
  </si>
  <si>
    <t xml:space="preserve">有Trace/Upscale/Studio(偏描摹预览·非从零画布)</t>
  </si>
  <si>
    <t xml:space="preserve">4h内免费无限次改(随proof流程)</t>
  </si>
  <si>
    <t xml:space="preserve">实时分级表全档可见</t>
  </si>
  <si>
    <t xml:space="preserve">4h人工proof无限免费改</t>
  </si>
  <si>
    <t xml:space="preserve">proof批准后才扣</t>
  </si>
  <si>
    <t xml:space="preserve">偷师:proof前不扣款+按实际刀线降价+复购库一键+Trace/Upscale降低无设计门槛 / 摩擦:价高·复购不能改设计·无集成</t>
  </si>
  <si>
    <t xml:space="preserve">StickerYou</t>
  </si>
  <si>
    <t xml:space="preserve">个人到品牌</t>
  </si>
  <si>
    <t xml:space="preserve">无</t>
  </si>
  <si>
    <t xml:space="preserve">中高</t>
  </si>
  <si>
    <t xml:space="preserve">有(Sticker Maker网页设计器·配置即设计·12家里唯一真正从零画布)</t>
  </si>
  <si>
    <t xml:space="preserve">无(live preview即终稿·人工协助是缺口)</t>
  </si>
  <si>
    <t xml:space="preserve">实时按sheet计价</t>
  </si>
  <si>
    <t xml:space="preserve">无人工proof(live预览即终稿)</t>
  </si>
  <si>
    <t xml:space="preserve">下单即扣</t>
  </si>
  <si>
    <t xml:space="preserve">偷师:无MOQ+集成式设计器 / 摩擦:无proof安全网·无人工设计兜底·目录过宽</t>
  </si>
  <si>
    <t xml:space="preserve">StickerApp</t>
  </si>
  <si>
    <t xml:space="preserve">创作者/电商</t>
  </si>
  <si>
    <t xml:space="preserve">中</t>
  </si>
  <si>
    <t xml:space="preserve">有限(proof为opt-in需主动申请·非默认协助)</t>
  </si>
  <si>
    <t xml:space="preserve">静态价目表</t>
  </si>
  <si>
    <t xml:space="preserve">上传即live刀线;正式proof需主动申请</t>
  </si>
  <si>
    <t xml:space="preserve">付款即扣</t>
  </si>
  <si>
    <t xml:space="preserve">偷师:上传即live刀线预览·Trustpilot入hero / 摩擦:proof是opt-in·无复购库·无设计协助入口</t>
  </si>
  <si>
    <t xml:space="preserve">Avery WePrint</t>
  </si>
  <si>
    <t xml:space="preserve">标签站</t>
  </si>
  <si>
    <t xml:space="preserve">小商家/手工</t>
  </si>
  <si>
    <t xml:space="preserve">无(2张起)</t>
  </si>
  <si>
    <t xml:space="preserve">低起</t>
  </si>
  <si>
    <t xml:space="preserve">有(模板库15+品类·全站最全)</t>
  </si>
  <si>
    <t xml:space="preserve">有(结账前强制proof批准·免费)</t>
  </si>
  <si>
    <t xml:space="preserve">实时单价+分级表</t>
  </si>
  <si>
    <t xml:space="preserve">结账前"I Approve"(贴纸)/卷标后台批准</t>
  </si>
  <si>
    <t xml:space="preserve">贴纸批准后扣·卷标先扣</t>
  </si>
  <si>
    <t xml:space="preserve">偷师:结账前proof闸·单价总价双显·模板最全·无设计时proof闸兜底 / 摩擦:卷标proof要登录·15+品类瘫痪</t>
  </si>
  <si>
    <t xml:space="preserve">CustomStickers.com</t>
  </si>
  <si>
    <t xml:space="preserve">餐饮/通用</t>
  </si>
  <si>
    <t xml:space="preserve">低</t>
  </si>
  <si>
    <t xml:space="preserve">有(24h邮件proof+无限免费改+3天自动通过·免费)</t>
  </si>
  <si>
    <t xml:space="preserve">实时自动计算器</t>
  </si>
  <si>
    <t xml:space="preserve">24h邮件proof无限改·3天自动通过</t>
  </si>
  <si>
    <t xml:space="preserve">偷师:付款于proof后·3天自动通过·人工协助免费兜底"没有设计"场景 / 摩擦:无在线设计器·格式模糊</t>
  </si>
  <si>
    <t xml:space="preserve">noissue</t>
  </si>
  <si>
    <t xml:space="preserve">环保包装站</t>
  </si>
  <si>
    <t xml:space="preserve">eco品牌</t>
  </si>
  <si>
    <t xml:space="preserve">有(网页design editor+Creative Community模板)</t>
  </si>
  <si>
    <t xml:space="preserve">有(付费brief设计师定制·约$300起非官方公开价)</t>
  </si>
  <si>
    <t xml:space="preserve">—</t>
  </si>
  <si>
    <t xml:space="preserve">定位:home compostable认证 / 缺口:MOQ 250偏高·深度设计需额外付费</t>
  </si>
  <si>
    <t xml:space="preserve">EcoEnclose</t>
  </si>
  <si>
    <t xml:space="preserve">DTC可持续</t>
  </si>
  <si>
    <t xml:space="preserve">有(/artwork页尺寸模板·非成品设计模板)</t>
  </si>
  <si>
    <t xml:space="preserve">有(免费；Design Team排版校对proof·真无图稿引导去Fiverr找设计师)</t>
  </si>
  <si>
    <t xml:space="preserve">定位:90-100%再生PCW / 缺口:MOQ 250·真无设计仍需外部设计师</t>
  </si>
  <si>
    <t xml:space="preserve">Sttark</t>
  </si>
  <si>
    <t xml:space="preserve">小食品/咖啡品牌</t>
  </si>
  <si>
    <t xml:space="preserve">仅尺寸/裁切线模板(非成品设计模板)</t>
  </si>
  <si>
    <t xml:space="preserve">有(收费；Artwork Edits/Recreation/Custom Design三档·先免费咨询后报价)</t>
  </si>
  <si>
    <t xml:space="preserve">实时</t>
  </si>
  <si>
    <t xml:space="preserve">有proof</t>
  </si>
  <si>
    <t xml:space="preserve">定位:食品/咖啡标签专项·Terra Skin / 缺口:营销弱·设计协助收费门槛不透明</t>
  </si>
  <si>
    <t xml:space="preserve">Vistaprint</t>
  </si>
  <si>
    <t xml:space="preserve">综合印刷站</t>
  </si>
  <si>
    <t xml:space="preserve">SMB 全品类</t>
  </si>
  <si>
    <t xml:space="preserve">低-中</t>
  </si>
  <si>
    <t xml:space="preserve">有(模板向导)</t>
  </si>
  <si>
    <t xml:space="preserve">未深挖</t>
  </si>
  <si>
    <t xml:space="preserve">标准电商流</t>
  </si>
  <si>
    <t xml:space="preserve">定位:Cimpress旗下·FY2025板块~$18亿(确证)·全品类打法贴纸非主力 / 量价与proof机制待实测</t>
  </si>
  <si>
    <t xml:space="preserve">Vograce</t>
  </si>
  <si>
    <t xml:space="preserve">CN直发/潮玩周边站</t>
  </si>
  <si>
    <t xml:space="preserve">创作者/潮玩品牌</t>
  </si>
  <si>
    <t xml:space="preserve">有(上传+实时预览装配·非从零画布)+模板库(Google Drive外链)</t>
  </si>
  <si>
    <t xml:space="preserve">有限(仅proofing阶段小改·官方FAQ明确拒绝from scratch代设计·明确拒绝AI生成图)</t>
  </si>
  <si>
    <t xml:space="preserve">proofing阶段有互动(未深挖细节)</t>
  </si>
  <si>
    <t xml:space="preserve">定位:CN-direct浙江义乌·T8全息/闪粉材质矩阵全场最强(A3.5标杆) / 摩擦:设计协助仅限微调·真正"没有设计"接不住</t>
  </si>
  <si>
    <t xml:space="preserve">GS-JJ</t>
  </si>
  <si>
    <t xml:space="preserve">CN直发/促销礼品站</t>
  </si>
  <si>
    <t xml:space="preserve">企业促销/社团</t>
  </si>
  <si>
    <t xml:space="preserve">无最低起订(FAQ明确)</t>
  </si>
  <si>
    <t xml:space="preserve">有(Online Design System可从零select元素+1000模板)+AI(Pin/Coin/Medal/Patch Generator·未覆盖贴纸品类)</t>
  </si>
  <si>
    <t xml:space="preserve">有(FAQ明确"FREE art and design services with every order"+无限次修改)</t>
  </si>
  <si>
    <t xml:space="preserve">定位:CN-direct·12家里唯一"设计工具+模板库+AI+人工协助"四项全配置 / 摩擦:AI与深度设计资源集中在徽章类·贴纸品类较简略·明确不做T8全息(与Vograce形成反差)</t>
  </si>
  <si>
    <t xml:space="preserve">Blue Label Packaging</t>
  </si>
  <si>
    <t xml:space="preserve">标签站(B2B包装)</t>
  </si>
  <si>
    <t xml:space="preserve">精酿/食品饮品牌</t>
  </si>
  <si>
    <t xml:space="preserve">无MOQ+自助门户</t>
  </si>
  <si>
    <t xml:space="preserve">仅尺寸/出血规格PDF模板(免费·非成品设计模板)</t>
  </si>
  <si>
    <t xml:space="preserve">有(但非自营团队·Designer Directory撮合外部独立设计师·费用未知)</t>
  </si>
  <si>
    <t xml:space="preserve">自助报价</t>
  </si>
  <si>
    <t xml:space="preserve">定位:精酿/食品标签专项·T9可变数据独立产品页+T10 wet-strength证据最扎实(A3.5) / 摩擦:真无设计需求要跳转第三方设计师·非公司内部服务</t>
  </si>
  <si>
    <t xml:space="preserve">StickerGiant</t>
  </si>
  <si>
    <t xml:space="preserve">创作者/品牌复购</t>
  </si>
  <si>
    <t xml:space="preserve">125张起(A4.5口径)</t>
  </si>
  <si>
    <t xml:space="preserve">有(support站分形状模板文章·非在线设计器)</t>
  </si>
  <si>
    <t xml:space="preserve">有(Free Artwork Setup随单免费+Customer Success Team人工审核·非从零代设计·明确引导用Canva/Illustrator自行设计)</t>
  </si>
  <si>
    <t xml:space="preserve">定位:美国本土科罗拉多Longmont·唯一诚实自曝"kraft标签不可堆肥"的竞品(A3.5) / 摩擦:零门槛盲发但零折扣·无从零设计能力</t>
  </si>
  <si>
    <t xml:space="preserve">无设计怎么办覆盖率统计(12家)：人工设计/清稿协助 10/12(83%，事实标配，但深度分层——从SM/GS-JJ/CustomStickers"免费无限次改"到Sttark/noissue"付费深度定制"到BlueLabel"第三方撮合")；在线设计工具 5/12(42%，其中SM/Vograce更偏"上传预览"而非真从零画布，真正配置即设计的只有StickerYou一家)；成品可套用模板库 4/12(33%，Avery/Vograce/GS-JJ/noissue；其余多为尺寸/裁切线模板非设计素材)；AI辅助 1/12(8%，仅GS-JJ且未覆盖贴纸品类本身，几乎空白，非当前行业竞争重点)</t>
  </si>
  <si>
    <t xml:space="preserve">白空间结论(与A1.5终版一致):真空白仅五条件交集(认证可堆肥×FDA食品接触×定制×&lt;100张×自助)且只作楔子卖点不作市场;"382票"经核实指向运输包装而非贴纸产品·环保缺口攻角已证伪——论证见报告A1.5</t>
  </si>
  <si>
    <t xml:space="preserve">产品规格矩阵（形态/材料/工艺/尺寸 + 用途 + 价格影响方向）</t>
  </si>
  <si>
    <t xml:space="preserve">分类</t>
  </si>
  <si>
    <t xml:space="preserve">选项</t>
  </si>
  <si>
    <t xml:space="preserve">用途/说明</t>
  </si>
  <si>
    <t xml:space="preserve">价格影响</t>
  </si>
  <si>
    <t xml:space="preserve">产品形态</t>
  </si>
  <si>
    <t xml:space="preserve">die-cut 异形单张</t>
  </si>
  <si>
    <t xml:space="preserve">logo/merch/零售单张(基准)</t>
  </si>
  <si>
    <t xml:space="preserve">基准</t>
  </si>
  <si>
    <t xml:space="preserve">kiss-cut 半切留白边</t>
  </si>
  <si>
    <t xml:space="preserve">贴纸册/易撕/包装内附</t>
  </si>
  <si>
    <t xml:space="preserve">+5-15%</t>
  </si>
  <si>
    <t xml:space="preserve">sticker sheet 多枚排一页</t>
  </si>
  <si>
    <t xml:space="preserve">文创/儿童套装</t>
  </si>
  <si>
    <t xml:space="preserve">按页摊薄</t>
  </si>
  <si>
    <t xml:space="preserve">roll label 卷装(贴标机兼容)</t>
  </si>
  <si>
    <t xml:space="preserve">产品包装/食饮(主力)</t>
  </si>
  <si>
    <t xml:space="preserve">比die-cut低40-50%</t>
  </si>
  <si>
    <t xml:space="preserve">transfer decal 无底转印</t>
  </si>
  <si>
    <t xml:space="preserve">车窗/玻璃/户外</t>
  </si>
  <si>
    <t xml:space="preserve">+20-50%或按㎡</t>
  </si>
  <si>
    <t xml:space="preserve">static cling 无胶静电</t>
  </si>
  <si>
    <t xml:space="preserve">橱窗/临时促销(仅光滑面)</t>
  </si>
  <si>
    <t xml:space="preserve">+10-25%</t>
  </si>
  <si>
    <t xml:space="preserve">bumper 加厚+永久胶+覆膜</t>
  </si>
  <si>
    <t xml:space="preserve">车贴/大规模派发</t>
  </si>
  <si>
    <t xml:space="preserve">+15-30%</t>
  </si>
  <si>
    <t xml:space="preserve">clear 透明(需白墨)</t>
  </si>
  <si>
    <t xml:space="preserve">高端包装/瓶</t>
  </si>
  <si>
    <t xml:space="preserve">+15-25%</t>
  </si>
  <si>
    <t xml:space="preserve">材料</t>
  </si>
  <si>
    <t xml:space="preserve">白vinyl永久</t>
  </si>
  <si>
    <t xml:space="preserve">通用/户外(5-7年)</t>
  </si>
  <si>
    <t xml:space="preserve">白vinyl可移</t>
  </si>
  <si>
    <t xml:space="preserve">临时/墙贴(1-2年可洁净撕)</t>
  </si>
  <si>
    <t xml:space="preserve">+5-10%</t>
  </si>
  <si>
    <t xml:space="preserve">clear vinyl</t>
  </si>
  <si>
    <t xml:space="preserve">no-label观感(需白墨3-5年)</t>
  </si>
  <si>
    <t xml:space="preserve">+15-20%</t>
  </si>
  <si>
    <t xml:space="preserve">BOPP 2mil</t>
  </si>
  <si>
    <t xml:space="preserve">包装首选/食饮(FDA食品接触·曲面服帖)</t>
  </si>
  <si>
    <t xml:space="preserve">比vinyl低15-25%</t>
  </si>
  <si>
    <t xml:space="preserve">holographic 全息</t>
  </si>
  <si>
    <t xml:space="preserve">高端/防伪(需高对比设计)</t>
  </si>
  <si>
    <t xml:space="preserve">+50-100%</t>
  </si>
  <si>
    <t xml:space="preserve">glitter 闪粉</t>
  </si>
  <si>
    <t xml:space="preserve">庆典/美妆/儿童</t>
  </si>
  <si>
    <t xml:space="preserve">+40-80%</t>
  </si>
  <si>
    <t xml:space="preserve">mirror/chrome 镜面</t>
  </si>
  <si>
    <t xml:space="preserve">汽车/高端(需覆膜)</t>
  </si>
  <si>
    <t xml:space="preserve">kraft 牛皮纸</t>
  </si>
  <si>
    <t xml:space="preserve">手工食品/环保(不防水)</t>
  </si>
  <si>
    <t xml:space="preserve">-10-20%</t>
  </si>
  <si>
    <t xml:space="preserve">户外 cast vinyl</t>
  </si>
  <si>
    <t xml:space="preserve">车贴/户外(7-10年抗UV)</t>
  </si>
  <si>
    <t xml:space="preserve">+30-60%</t>
  </si>
  <si>
    <t xml:space="preserve">food-safe 食品安全</t>
  </si>
  <si>
    <t xml:space="preserve">直接食品接触(整套face+胶+墨需认证)</t>
  </si>
  <si>
    <t xml:space="preserve">+10-20%</t>
  </si>
  <si>
    <t xml:space="preserve">工艺</t>
  </si>
  <si>
    <t xml:space="preserve">matte/gloss 覆膜</t>
  </si>
  <si>
    <t xml:space="preserve">哑面/亮面(通用)</t>
  </si>
  <si>
    <t xml:space="preserve">常已含</t>
  </si>
  <si>
    <t xml:space="preserve">Spot UV 局部立体亮油</t>
  </si>
  <si>
    <t xml:space="preserve">奢侈包装</t>
  </si>
  <si>
    <t xml:space="preserve">烫金 foil(需开模)</t>
  </si>
  <si>
    <t xml:space="preserve">酒标/高端</t>
  </si>
  <si>
    <t xml:space="preserve">+50-150%+开模费</t>
  </si>
  <si>
    <t xml:space="preserve">emboss 压纹(需开模)</t>
  </si>
  <si>
    <t xml:space="preserve">高端/酒/美妆</t>
  </si>
  <si>
    <t xml:space="preserve">+40-100%+开模费</t>
  </si>
  <si>
    <t xml:space="preserve">白墨 white ink</t>
  </si>
  <si>
    <t xml:space="preserve">clear/深色基材必需</t>
  </si>
  <si>
    <t xml:space="preserve">尺寸/形状</t>
  </si>
  <si>
    <t xml:space="preserve">常见尺寸</t>
  </si>
  <si>
    <t xml:space="preserve">2″/2.5″/3″/4″/5″ 方圆</t>
  </si>
  <si>
    <t xml:space="preserve">—</t>
  </si>
  <si>
    <t xml:space="preserve">保险杠</t>
  </si>
  <si>
    <t xml:space="preserve">3″x10″ 主流</t>
  </si>
  <si>
    <t xml:space="preserve">卷标</t>
  </si>
  <si>
    <t xml:space="preserve">1″x1″~4″x6″(3″芯)</t>
  </si>
  <si>
    <t xml:space="preserve">自定义形状</t>
  </si>
  <si>
    <t xml:space="preserve">上传自动生刀线</t>
  </si>
  <si>
    <t xml:space="preserve">要点</t>
  </si>
  <si>
    <t xml:space="preserve">白墨易被忽略</t>
  </si>
  <si>
    <t xml:space="preserve">clear/深色基材必需·须文件设白墨层</t>
  </si>
  <si>
    <t xml:space="preserve">BOPP是食安默认</t>
  </si>
  <si>
    <t xml:space="preserve">整套(face+胶+墨)需认证而非仅面材</t>
  </si>
  <si>
    <t xml:space="preserve">foil/emboss需实体开模</t>
  </si>
  <si>
    <t xml:space="preserve">是MOQ驱动·非所有数码厂可做</t>
  </si>
  <si>
    <t xml:space="preserve">卷标需指定放卷方向</t>
  </si>
  <si>
    <t xml:space="preserve">贴标机适配</t>
  </si>
  <si>
    <t xml:space="preserve">贴纸类型×资质门槛×供应链地理×竞品覆盖矩阵（2026-07-04·13类型T1-T13交叉四维·判读框架见报告A3.5）</t>
  </si>
  <si>
    <t xml:space="preserve">判读框架：无门槛红海(T1/T2/T3/T7/T8)·门槛区(T4/T9/T10/T13)·空白区(T6/T11，两轮独立猎源后仍0/44)——市场按此三种地形分层，非一片模糊的"贴纸生意"</t>
  </si>
  <si>
    <t xml:space="preserve">一、主矩阵（T1–T13）</t>
  </si>
  <si>
    <t xml:space="preserve">类型(T编号+名)</t>
  </si>
  <si>
    <t xml:space="preserve">资质门槛(级别+具体要求+义务方)</t>
  </si>
  <si>
    <t xml:space="preserve">可行生产地模式(美国POD·中国跨境·混合+一句为什么)</t>
  </si>
  <si>
    <t xml:space="preserve">我们池内可用供应商(点名+层级)</t>
  </si>
  <si>
    <t xml:space="preserve">池内缺口</t>
  </si>
  <si>
    <t xml:space="preserve">竞品覆盖(谁做·生产地缩写)</t>
  </si>
  <si>
    <t xml:space="preserve">竞品明显不做</t>
  </si>
  <si>
    <t xml:space="preserve">竞争密度判读</t>
  </si>
  <si>
    <t xml:space="preserve">T1 通用装饰die-cut/kiss-cut vinyl</t>
  </si>
  <si>
    <t xml:space="preserve">无门槛(确证)·仅横切Prop65/CONEG重金属·义务方=品牌方兜底</t>
  </si>
  <si>
    <t xml:space="preserve">中国跨境为主(数码印刷+无版费+刀模近零成本，深圳/广东性价比压制)·&lt;100张定制单归美国POD层(A4.5三层拓扑)</t>
  </si>
  <si>
    <t xml:space="preserve">Stickerhome(●RFQ池首发)·Best4U(候补·材质最全)·华鑫美(有条件)·扩充池Heng Li/Guangzhou Label/Shenzhen Dir/Panda等10+家PASS</t>
  </si>
  <si>
    <t xml:space="preserve">不是供给缺口而是主战场——池内36家几乎全挤在这一格，真正分层要看其他维度(认证/特效/合规)</t>
  </si>
  <si>
    <t xml:space="preserve">SM(US/EU)·SY(CA)·SA(EU/US)·Avery(US/MX/CN估算)·CS.com(US)·BlueLabel(US)·StickerGiant(US)·noissue(hybrid)·EcoEnclose(hybrid)·Vograce(CN)·GS-JJ(CN)</t>
  </si>
  <si>
    <t xml:space="preserve">Sttark(业态定位仅label/carton，无独立贴纸品类)</t>
  </si>
  <si>
    <t xml:space="preserve">红海——12家中11家覆盖，无资质门槛，纯拼价格/交期/设计工具，是三层拓扑里竞争最激烈的一格</t>
  </si>
  <si>
    <t xml:space="preserve">T2 sticker sheets拼版贴纸</t>
  </si>
  <si>
    <t xml:space="preserve">无门槛(确证)·与T1同属性叠加判断，若含儿童/食品图案则按T11/T4加判</t>
  </si>
  <si>
    <t xml:space="preserve">中国跨境为主·与T1同逻辑，拼版只是版式差异不改变生产地经济性</t>
  </si>
  <si>
    <t xml:space="preserve">同T1供应商池，多数扩充池工厂支持按订单拼版</t>
  </si>
  <si>
    <t xml:space="preserve">非独立缺口，依附T1产能</t>
  </si>
  <si>
    <t xml:space="preserve">SM(US/EU)·SY(CA)·CS.com(US)·StickerGiant(US)·noissue(hybrid)·EcoEnclose(hybrid)·Vograce(CN)·GS-JJ(CN)</t>
  </si>
  <si>
    <t xml:space="preserve">Avery WePrint(无独立sticker sheet品类，并入Custom Stickers通用页)·Sttark/BlueLabel(纯label/carton业态，明文不做拼版贴纸品类)·SA(未见独立品类，弱覆盖)</t>
  </si>
  <si>
    <t xml:space="preserve">常规——多数做但比T1薄一层，B2B包装标签专业厂(Sttark/BlueLabel)明确不碰，形成消费贴纸厂vs包装标签厂的业态分野</t>
  </si>
  <si>
    <t xml:space="preserve">T3 通用包装卷标roll labels(非食品直接接触)</t>
  </si>
  <si>
    <t xml:space="preserve">无门槛(确证)·CONEG+Prop65横切·不适用FDA食品接触规则(非食品包装)</t>
  </si>
  <si>
    <t xml:space="preserve">美国本土优先(Sttark/BlueLabel验证：本土专业卷标厂交期更快、免关税、更适配品牌方高频小单返单)+中国跨境走批量</t>
  </si>
  <si>
    <t xml:space="preserve">Best4U(候补)·Heng Li(阶梯价含标签)·Guangzhou Label(主打食品饮料日化)·BookPrintingChina(认证强但主业图书)</t>
  </si>
  <si>
    <t xml:space="preserve">池内缺「纯卷标专精厂」——多数中国候选是贴纸厂捎带做roll label，专业度不及Sttark/BlueLabel这类美国B2B标签厂</t>
  </si>
  <si>
    <t xml:space="preserve">SM(US/EU)·SY(CA)·SA(EU/US)·Avery(US/MX/CN)·CS.com(US)·Sttark(US·主业)·BlueLabel(US·主业)·StickerGiant(US)·noissue(hybrid)·EcoEnclose(hybrid·shipping label)</t>
  </si>
  <si>
    <t xml:space="preserve">Vograce(CN·装饰周边定位，无真正包装卷标产品线)·GS-JJ(CN·促销礼品定位，无包装标签产品线)</t>
  </si>
  <si>
    <t xml:space="preserve">红海(美国侧)——Sttark/BlueLabel/StickerGiant等专业标签厂扎堆，但中国动漫周边代工厂(Vograce/GS-JJ)完全不碰，呈现清晰的地理/业态分野而非全面拥挤</t>
  </si>
  <si>
    <t xml:space="preserve">T4 直接食品接触标签(直贴食品本体/入袋接触)</t>
  </si>
  <si>
    <t xml:space="preserve">认证级(确证)·FDA 21 CFR 175.105(粘合剂)+176(纸类)·迁移测试报告由材料商持有出具Letter of Guaranty·品牌方对成品食品安全负最终责任</t>
  </si>
  <si>
    <t xml:space="preserve">美国POD强制优先——材料合规链条短(美国材料商可直接出具FDA迁移报告/LOG)，中国厂0/36验证过迁移测试报告，叠加中国跨境小单三输(关税+交期+履约)，此类目实质上排除中国路径</t>
  </si>
  <si>
    <t xml:space="preserve">池内0家确证达标·华鑫美(FDA自报无编号，有条件)·Heng Li(FDA/GMP listing自述无编号)——均未到「迁移测试报告号」门槛</t>
  </si>
  <si>
    <t xml:space="preserve">结构性空白——36家中无一家能提供21CFR迁移测试报告号，需向美国材料商方向新开供应线，而非在现有中国池深挖</t>
  </si>
  <si>
    <t xml:space="preserve">SM(US/EU·做，官方FAQ明文food-safe但未引用CFR条款号，弱于Avery)·CS.com(US·把直接食品接触列为「联系我们」的非标准询价项，介于做与不做之间)</t>
  </si>
  <si>
    <t xml:space="preserve">SA(不做)·Avery(明文限定间接接触，FAQ原文否定直接接触选项)·SY(模糊未声称)·Sttark(明文仅indirect contact)·BlueLabel(未见声称，判定不做)·StickerGiant(无声称)·noissue(贴纸/标签范畴不做，其食品直接接触能力在纸类wrapping paper另一产品线)·EcoEnclose(无声称)·Vograce(无声称，动漫周边定位)·GS-JJ(无声称，促销礼品定位)</t>
  </si>
  <si>
    <t xml:space="preserve">门槛区——12家中仅2家勉强覆盖且证据强度都弱(Avery反而明确划清红线拒绝直接接触)，是全矩阵资质密度最高、供给最稀薄的一格</t>
  </si>
  <si>
    <t xml:space="preserve">T5 食品包装外标(瓶罐外侧·间接接触)</t>
  </si>
  <si>
    <t xml:space="preserve">声称级(估算)·若标签完全不接触食品(容器壁作为屏障)则不落入FDA食品接触物质监管，仅需一般消费品标签合规·材料商可选择出具「非食品接触」声明留档</t>
  </si>
  <si>
    <t xml:space="preserve">中美均可——门槛低(仅声称级)，美国专业标签厂(Sttark/BlueLabel)在响应速度和品牌方信任度占优，中国跨境靠成本和材质选择广度竞争，量级分工按A4.5三层拓扑走</t>
  </si>
  <si>
    <t xml:space="preserve">华鑫美(有条件)·Heng Li(自报)·Guangzhou Label(主打食品饮料日化标签)·BookPrintingChina(FSC但无食品接触资质，合规备选)</t>
  </si>
  <si>
    <t xml:space="preserve">池内食品外标候选多但「专精度」不足——多数是泛用贴纸厂捎带做，缺少像Sttark/BlueLabel那样专门服务craft beer/sauce/candy行业的深度客户案例积累</t>
  </si>
  <si>
    <t xml:space="preserve">SM(US/EU)·SY(CA)·SA(EU/US)·Avery(US/MX/CN·21CFR175.105条款号最精确)·CS.com(US)·Sttark(US·主业，indirect contact自我定位清晰)·BlueLabel(US·主业)·StickerGiant(US)·noissue(hybrid·弱，仅grease/moisture resistant未明确食品外标)·EcoEnclose(hybrid·弱，未见专门食品垂直)</t>
  </si>
  <si>
    <t xml:space="preserve">Vograce(CN·不做，无食品/日化标签产品线)·GS-JJ(CN·不做，无食品标签产品线)</t>
  </si>
  <si>
    <t xml:space="preserve">红海(美国侧)——门槛低+需求稳定(酒饮/日化/食品外包装是Sttark/BlueLabel等核心现金流业务)，中国动漫周边代工厂完全缺席，市场按地理/客户垂直分层而非全局拥挤</t>
  </si>
  <si>
    <t xml:space="preserve">T6 认证可堆肥标签(BPI/EN13432级声称)</t>
  </si>
  <si>
    <t xml:space="preserve">认证级(估算)·FTC Green Guides(16 CFR 260)要求科学证据支持+限定使用场景·ASTM D6400/D6868为行业标准·BPI第三方认证是事实标准但非联邦强制·加州AB1201(原定2026-01-01生效，需查最新CalRecycle展期公告)若不获展期将实质禁止塑料基可堆肥贴纸在加州声称</t>
  </si>
  <si>
    <t xml:space="preserve">无人达标——全美在证定制胶粘标签为零(A1.5已确证)，中美两地均无供给，唯一路径是「用已获BPI认证的原纸基材+自行送检成品」从零建认证，而非采购现成认证产能</t>
  </si>
  <si>
    <t xml:space="preserve">0/36家——BRCGS/SQF目录直查24家扩充池均无收录，eco两家(惠州YITO/江门Biopacktech)经核实为货不对板或「in line with」而非「certified」，不构成认证级供给</t>
  </si>
  <si>
    <t xml:space="preserve">全池结构性空白，与A1.5「全美在证定制胶粘标签为零」结论一致——这不是「没找到供应商」而是「这门生意目前不存在现成产能」，若要做需自建认证流程(先用EN13432声称材料试卖验证付费意愿)</t>
  </si>
  <si>
    <t xml:space="preserve">无一家12家竞品达到认证级——Sttark/BlueLabel/StickerGiant/noissue/EcoEnclose均只做叙事级kraft/compostable文案(FTC Green Guides口径下均属未经证实声称)，StickerGiant更罕见地自曝其kraft标签「不可堆肥」(因胶粘剂限制)</t>
  </si>
  <si>
    <t xml:space="preserve">SM(明文不做，Paper Labels页仅FSC无堆肥认证)·SY(不做，Eco-Safe线无第三方堆肥认证)·SA(不做，Kraft Paper Labels仅FSC)·Avery(明文不做，FAQ原文「Avery labels are not compostable」，唯一主动否认)·CS.com(不做，无堆肥认证)·Vograce(不做，完全无环保叙事)·GS-JJ(不做，无环保叙事)</t>
  </si>
  <si>
    <t xml:space="preserve">空白——12/12家均无第三方认证可堆肥产品，全行业性缺口，非我们独有短板；若判断该细分市场值得投入，是罕见的「无竞争但也无验证过需求」的真空区，需先验证付费意愿(A1.5已提示细分头部词月搜仅30-420次，天花板证据)</t>
  </si>
  <si>
    <t xml:space="preserve">T7 kraft/再生纸/eco声称级(无第三方认证)</t>
  </si>
  <si>
    <t xml:space="preserve">声称级(估算)·FTC Green Guides适用于任何文字/图形环保功能性声称，需可证实证据(如再生成分比例)·加州SB343(Truth in Recycling)对可回收三角标志有平行限制</t>
  </si>
  <si>
    <t xml:space="preserve">中美均可，门槛低(仅叙事真实性要求)——中国材料商供给广(kraft/牛皮纸/FSC纸)，成本优势明显；美国厂靠「Made in USA+环保」双重叙事溢价定位</t>
  </si>
  <si>
    <t xml:space="preserve">Best4U(kraft非认证·材质最全)·BookPrintingChina(FSC认证最全但主业图书)·多数扩充池工厂自报FSC无编号(Heng Li/Guangzhou Label等)</t>
  </si>
  <si>
    <t xml:space="preserve">池内FSC类证据全部「无编号」级别，与竞品同一水平(声称级)，尚不构成差异化——若要建立可信度优势需补齐FSC证书编号可查(info.fsc.org)这一低成本动作</t>
  </si>
  <si>
    <t xml:space="preserve">SM(做，FSC认证再生纸)·SY(做，Eco-Safe 40%回收PET)·SA(做，Kraft Paper Labels FSC)·Avery(做，100%再生纸)·CS.com(做，kraft/eco-solvent)·Sttark(做，Terra Skin等材质)·BlueLabel(做，Compostable Vellum声称级)·StickerGiant(做，但诚实自曝kraft不可堆肥)·noissue(做，大量使用Compostable一词但无认证)·EcoEnclose(做，核心定位，100% PCW纸基)</t>
  </si>
  <si>
    <t xml:space="preserve">Vograce(不做，完全无环保叙事)·GS-JJ(不做，检索确认无eco/kraft相关声称)</t>
  </si>
  <si>
    <t xml:space="preserve">红海——12家中10家覆盖，叙事门槛极低，几乎所有西方消费向贴纸厂都在打「环保牌」，唯二中国动漫周边代工厂完全不参与(因其客户群不在意)</t>
  </si>
  <si>
    <t xml:space="preserve">T8 全息/闪粉/镜面/特效材质</t>
  </si>
  <si>
    <t xml:space="preserve">无门槛(估算)·按用途叠加判断(食品接触/儿童/户外耐久场景才触发对应类型门槛)·儿童产品需额外关注小部件误吞及重金属颜料CONEG限量</t>
  </si>
  <si>
    <t xml:space="preserve">中国跨境优势最大——特效材质(全息/闪粉/镭射)属工艺密集但认证零门槛，中国深圳/东莞产业带成本优势显著且Vograce级产品页矩阵深度远超美国厂</t>
  </si>
  <si>
    <t xml:space="preserve">Canfei灿飞(全息防伪专项)·华鑫美(全息)·Zolo(VOID/全息/蛋壳纸实价实见，阶段2优先)·Panda(全息)·Best4U(材质广)</t>
  </si>
  <si>
    <t xml:space="preserve">池内特效供应商已有一定深度(Zolo/Canfei/Panda)，但矩阵密度和SKU细分(全息/闪粉/镜面/棱镜/星尘等5+子类)不及Vograce——若做特效品类需以Vograce深度为对标补齐材质谱系</t>
  </si>
  <si>
    <t xml:space="preserve">SM(做，全息+闪粉双线)·SY(做，全息乙烯基)·SA(做，5种特效材质谱系最丰富之一：全息/闪粉/镜面/棱镜/pixie dust)·Avery(做，OPP全息膜)·CS.com(做，全息/闪粉/水晶)·Sttark(做，Rainbow Holographic Plastic)·BlueLabel(做，材质表最丰富之一：全息/金属/烫金/闪粉)·StickerGiant(做，Glossy/Matte全息+夜光PET)·Vograce(做，全场最强，产品页数量和细分深度第一)·GS-JJ(明确不做，仅matte/glossy/clear三种漆面，与Vograce形成七家中最大反差)</t>
  </si>
  <si>
    <t xml:space="preserve">noissue(不做，贴纸目录未见全息/闪粉材质选项)·EcoEnclose(不做，纯eco定位，材质最窄的之一)</t>
  </si>
  <si>
    <t xml:space="preserve">红海——12家中10家覆盖，材质门槛低+客户视觉冲击力强，是继T1之后竞争密度第二高的一格，纯拼材质谱系深度与成本，Vograce是标杆</t>
  </si>
  <si>
    <t xml:space="preserve">T9 防伪/VOID/序列号/可变数据</t>
  </si>
  <si>
    <t xml:space="preserve">无门槛(估算)·印刷技术类别非监管类别·若用于受监管商品(处方药/烟酒税票)则该商品本身合规规则适用，防伪工艺本身不产生独立资质</t>
  </si>
  <si>
    <t xml:space="preserve">中国跨境可行但需专项验证——VOID/防伪材料是特殊工艺非普适产能，中国已有Zolo这类专精候选；美国侧Sttark/BlueLabel/StickerYou提供更完整的可变数据打印(VDP)全套服务(序列号+批次码+条码+追溯)</t>
  </si>
  <si>
    <t xml:space="preserve">Zolo(VOID防伪主力，直接补矩阵特殊效果/防伪空格，阶段2优先)·深圳盛天鑫(条码/可变数据标，UNCERTAIN未过全筛)</t>
  </si>
  <si>
    <t xml:space="preserve">池内仅1家(Zolo)接近但仍待阶段2全筛验证，且Zolo证据集中在VOID防伪材料而非完整「序列号+批次+可变数据」全套能力，与StickerYou/BlueLabel的专页级完整能力有差距</t>
  </si>
  <si>
    <t xml:space="preserve">SY(做，最完整：Barcode/QR/Serial Number/Asset Tags/Sequential Number五个子类目)·Avery(做，支持sequential numbering+barcode+QR+variable data merge)·Sttark(做，官方VDP checkout选项)·BlueLabel(做，独立产品页：序列号/批次号/到期日/二维码+tamper seals)·noissue(做，Tamper-proof Sticker Rolls专页，但功能偏防篡改子集非完整可变数据)·SA(弱做，仅基础条码)·CS.com(弱做，仅条码标签)·SM(不做，无专门产品线)</t>
  </si>
  <si>
    <t xml:space="preserve">StickerGiant(不做，搜索未发现专门serial/VOID/variable-data产品页)·EcoEnclose(不做)·Vograce(不做)·GS-JJ(不做)</t>
  </si>
  <si>
    <t xml:space="preserve">薄——12家中仅4家有完整能力(SY/Avery/Sttark/BlueLabel)，多数停留在「弱做」（仅条码）或完全不做，是真正靠专项技术能力而非规模取胜的门槛区，池内Zolo是稀缺补位但仍需验证</t>
  </si>
  <si>
    <t xml:space="preserve">T10 酒精饮料标签(湿强纸/冰桶测试+TTB字段)</t>
  </si>
  <si>
    <t xml:space="preserve">设施级(确证)·TTB COLA(27 CFR Part 4/5/7)批准后方可跨州销售·COLA申请义务方=品牌方/装瓶商而非印厂·印厂仅承担材料工程性能责任(湿强面材+耐冷凝胶水)，非法规义务</t>
  </si>
  <si>
    <t xml:space="preserve">美国本土优先——TTB COLA是品牌方义务非印厂义务，但「湿强纸+冰桶测试」是材料工程能力，美国专业厂(BlueLabel材质页明确标注wet-strength属性)证据最扎实；中国跨境可做但走BOPP合成材料路线(StickerGiant模式)非传统湿强纸，且批量返单受益于A4.5空运通道(对标Sttark账面便宜37-49%)</t>
  </si>
  <si>
    <t xml:space="preserve">池内暂无专项验证候选——Best4U/华鑫美等材质覆盖广但未见专门湿强纸/冰桶测试规格证据，需在RFQ阶段专项询证</t>
  </si>
  <si>
    <t xml:space="preserve">结构性缺口——36家中无一家被专门问过「是否可提供wet-strength facestock+耐冷凝胶水组合」，此为E阶段5索证清单待补项，非「查过没有」而是「还没问」</t>
  </si>
  <si>
    <t xml:space="preserve">Avery(做，Estate #8/#9纸材专为湿强/冰桶设计，5家中最精确)·BlueLabel(做，materials页明文wet-strength标注+博客确认ice bucket测试，A1.5已核实无MOQ+自助门户)·StickerGiant(做，BOPP路线号称耐冷藏抗浸泡，非传统湿强纸)·Sttark(做，品类页存在但未见专门湿强措辞)·SM/SY/SA/CS.com(均弱做，仅品类页无专门规格证据)</t>
  </si>
  <si>
    <t xml:space="preserve">noissue(不做，无wine/beer相关产品页)·EcoEnclose(不做)·Vograce(不做，纯装饰/潮玩定位)·GS-JJ(不做，与酒饮行业无关联)</t>
  </si>
  <si>
    <t xml:space="preserve">薄——仅Avery/BlueLabel两家证据扎实，多数「弱做」缺专门规格，且TTB COLA义务本身在品牌方而非印厂，市场看的是材料工程能力而非法规持证，池内尚为空白需专项开发</t>
  </si>
  <si>
    <t xml:space="preserve">T11 儿童向贴纸(奖励贴/玩具附赠/儿童文具)</t>
  </si>
  <si>
    <t xml:space="preserve">认证级(确证)·CPSIA适用「儿童产品」(16 CFR 1200.2，12岁及以下)·需总铅≤100ppm+邻苯限值0.1%+第三方检测+CPC(制造商/进口商自我出具)+永久追溯标签(15 U.S.C. §2063)·若标注为「通用装饰」可能豁免，标注方式是决定性因素</t>
  </si>
  <si>
    <t xml:space="preserve">无人达标——CPSIA是真实法律门槛(非仅声称级)，中美两地此刻均无验证通过的候选；Accio猎源专门定向核验Stonedoing/Geyu两家CPC候选，结果零实见证据，说明这不是搜索不够而是市场上确无现成认证产能</t>
  </si>
  <si>
    <t xml:space="preserve">0/36家——池内CPC核验结论明确：Stonedoing/Geyu均为零实见证据(无证书图/编号/CPSC认可实验室报告)，T11空格「查过没有」、未关闭</t>
  </si>
  <si>
    <t xml:space="preserve">与T6并列为全池两大结构性空白之一，且已过两轮定向猎源(通用扩池+Accio专项)仍未找到，说明真实供给比预期更稀缺，不建议在现有池内继续深挖，需另辟蹊径(如直接联系美国CPC持证代工厂)</t>
  </si>
  <si>
    <t xml:space="preserve">SY(做但未声称合规，产品线完整但无CPSIA/CPC字样)·CS.com(宣称baby-safe但未认证，宣称与认证之间的模糊地带)·Vograce(场景化覆盖，奖励贴纸书用途包装而非专门年龄分层品类)</t>
  </si>
  <si>
    <t xml:space="preserve">SM(不做，无kids/reward sticker产品页)·SA(不做)·Avery(不做，WePrint范围内无专属儿童产品线及CPSIA声明)·Sttark(不做)·BlueLabel(不做)·StickerGiant(不做)·noissue(不做)·EcoEnclose(不做)·GS-JJ(不做，与Vograce形成鲜明反差)</t>
  </si>
  <si>
    <t xml:space="preserve">空白——12家中0家有CPSIA/CPC正式认证，最多是「宣称但未认证」或「场景化包装」，这是全矩阵认证密度最高、市场供给最稀薄的两格之一，若要做需从零建认证链条而非从现有竞品/供应商模仿</t>
  </si>
  <si>
    <t xml:space="preserve">T12 户外耐久/汽车bumper(cast vinyl/抗UV)</t>
  </si>
  <si>
    <t xml:space="preserve">无门槛(估算)·材料性能范畴非法规范畴·ASTM D4329/G154/D2247等为自愿性检测方法非强制性市场准入证书·若涉车辆反光标志类用途才触发ASTM D4956+各州DOT规定，普通bumper贴纸不适用</t>
  </si>
  <si>
    <t xml:space="preserve">中国跨境为主——门槛为零，纯材质耐久性(cast vinyl防水防UV)竞争，中国厂(hxcustomlabel等)已有3M材料防水防UV能力，成本优势明确；批量走空运/海运看量级(A4.5三层拓扑)</t>
  </si>
  <si>
    <t xml:space="preserve">hxcustomlabel(3M vinyl防水防UV，候补层)·多数vinyl厂泛称防水防UV(Best4U/Heng Li等)</t>
  </si>
  <si>
    <t xml:space="preserve">材质「防水防UV」泛称多，但缺乏专门「5年户外寿命」级别的耐久性数据表或第三方测试引用(如竞品CustomStickers引用「5-Year Outdoor Life」)——若做该品类需补充材质性能数据文档而非另寻新供应商</t>
  </si>
  <si>
    <t xml:space="preserve">SM(做，层压保护风雨日晒)·SY(做，Car Bumper Stickers+Outdoor Decals专页)·SA(做，Heavy Duty Stickers「7年抗候」)·Avery(做，Bumper/Car Stickers用例页)·CS.com(做，「5-Year Outdoor Life」明确耐久年限)·StickerGiant(做，Bumper Stickers专页+Outdoor Adventure)·Vograce(做，场景化：2-4年户外寿命+removable adhesive bumper stickers)·GS-JJ(弱做，仅材质属性描述「waterproof &amp; UV Resistant」，无独立汽车贴纸品类)</t>
  </si>
  <si>
    <t xml:space="preserve">Sttark(不做，仅博客教学文非在售SKU)·BlueLabel(不做，无bumper/汽车贴纸品类，定位工业包装标签非消费贴纸)·noissue(不做，无bumper/outdoor durable专页)·EcoEnclose(不做，电商包装辅料商定位非户外耐久贴纸)</t>
  </si>
  <si>
    <t xml:space="preserve">常规——8/12家覆盖，材质门槛低但需要耐久性数据支撑品牌信任，B2B包装标签厂(Sttark/BlueLabel/noissue/EcoEnclose)集体缺席，说明这仍是消费级贴纸厂的战场而非泛贴纸供应链都能覆盖</t>
  </si>
  <si>
    <t xml:space="preserve">T13 工业耐久标签(UL 969认可类)</t>
  </si>
  <si>
    <t xml:space="preserve">设施级(确证)·UL 969是自愿性第三方安全认证体系，但常被下游客户间接强制要求(作为UL整机认证组件)·材料UL File Number由材料商持有，成品标签UL Recognition须印厂自行申请注册(PGDQ2类别)，仅用UL认可材料不自动获得成品认可资格</t>
  </si>
  <si>
    <t xml:space="preserve">美国本土优先，但已有中国突破口——UL Recognition理论上材料商+印厂均可申请(不限地域)，本轮唯一权威库实证是中国厂Jiangsu OPT的UL File MH60774(组件级Printing Materials，非成品认证)，说明中国具备潜在能力但需再验证印厂自身PGDQ2注册状态，而非天然排除中国路径</t>
  </si>
  <si>
    <t xml:space="preserve">Jiangsu OPT(UL File MH60774经UL Prospector官方目录实证，本项目迄今唯一权威库直查验真的安全类认证，已并入阶段2全筛队列)——池内唯一实证线索</t>
  </si>
  <si>
    <t xml:space="preserve">结构性空白但有突破口——池内其余35家均0/35未见UL相关证据；Jiangsu OPT本身是组件级材料认证非成品标签认证，距离「能对外销售UL认可工业标签成品」仍有一步（需印厂自身UL Recognition注册），且其定位是工业/品牌标签非消费贴纸，客户匹配度需二次评估</t>
  </si>
  <si>
    <t xml:space="preserve">无一家竞品达标——12/12竞品均无UL 969或工业认证类产品线；StickerApp有「Heavy Duty」耐久语言但无认证编号(判定弱做)；Sticker Mule官方客服原话明确拒绝背书「does not know enough about UL 969 standard」(唯一「明文拒绝」案例)</t>
  </si>
  <si>
    <t xml:space="preserve">SM(明文不做，客服原话拒绝背书)·SY(不做)·SA(弱做，Heavy Duty页有工业耐久语言但无UL编号)·Avery(不做，WePrint范围外，工业UL认证类产品仅存在于Avery传统零售线)·CS.com(不做)·Sttark(不做)·BlueLabel(不做)·StickerGiant(不做)·noissue(不做)·EcoEnclose(不做)·Vograce(不做)·GS-JJ(不做)</t>
  </si>
  <si>
    <t xml:space="preserve">空白——12/12家竞品集体缺席，且Sticker Mule公开否认背书，是全矩阵唯一「竞品无一覆盖+我们池内已有真实权威库认证线索」的稀缺组合，若工业标签客户群与现有DTC定位不冲突，值得作为差异化押注方向，但需先完成印厂自身UL Recognition注册核验</t>
  </si>
  <si>
    <t xml:space="preserve">二、竞品生产地总览（12家竞品：生产地判定经对抗核验·确证/估算标注）</t>
  </si>
  <si>
    <t xml:space="preserve">竞品</t>
  </si>
  <si>
    <t xml:space="preserve">生产地(判定+置信)</t>
  </si>
  <si>
    <t xml:space="preserve">T1-T13覆盖(做的列T号)</t>
  </si>
  <si>
    <t xml:space="preserve">食品接触声称</t>
  </si>
  <si>
    <t xml:space="preserve">eco声称</t>
  </si>
  <si>
    <t xml:space="preserve">对我们的含义</t>
  </si>
  <si>
    <t xml:space="preserve">Sticker Mule</t>
  </si>
  <si>
    <t xml:space="preserve">hybrid：美国(纽约Amsterdam+南卡Gaffney)+意大利Pisa，按订单地区分流(确证)</t>
  </si>
  <si>
    <t xml:space="preserve">T1·T2·T3·T5·T7·T8·T9(不做)·T12</t>
  </si>
  <si>
    <t xml:space="preserve">做，但仅笼统food-safe未引CFR条款号(弱于Avery)</t>
  </si>
  <si>
    <t xml:space="preserve">做，FSC认证再生纸(声称级非认证级)</t>
  </si>
  <si>
    <t xml:space="preserve">美国东岸产能对我们美国POD层是直接对标对象；T13明文拒绝背书(唯一一家)，若我们押注工业耐久是差异化机会</t>
  </si>
  <si>
    <t xml:space="preserve">StickerYou</t>
  </si>
  <si>
    <t xml:space="preserve">CA：多伦多Liberty Village工厂(确证)</t>
  </si>
  <si>
    <t xml:space="preserve">T1·T2·T3·T5(模糊)·T7·T8·T9·T11(未声称合规)·T12</t>
  </si>
  <si>
    <t xml:space="preserve">模糊，场景暗示但无FDA字样</t>
  </si>
  <si>
    <t xml:space="preserve">做，Eco-Safe 40%回收PET(声称级)</t>
  </si>
  <si>
    <t xml:space="preserve">唯一T9可变数据全套能力最完整的竞品，是我们若做防伪/序列号品类的对标基准；T11有产品线但未做CPSIA合规声明，说明「做但不担认证责任」是行业默认姿态</t>
  </si>
  <si>
    <t xml:space="preserve">StickerApp</t>
  </si>
  <si>
    <t xml:space="preserve">hybrid：瑞典Lomma总部+美国Annapolis/Plantsville枢纽(估算)</t>
  </si>
  <si>
    <t xml:space="preserve">T1·T2(弱)·T3·T5(弱)·T7·T8(材质谱系最丰富之一)·T9(弱，仅条码)·T10(弱)·T12</t>
  </si>
  <si>
    <t xml:space="preserve">不做，无食品直接接触声称</t>
  </si>
  <si>
    <t xml:space="preserve">做，Kraft Paper Labels FSC(声称级)</t>
  </si>
  <si>
    <t xml:space="preserve">T8特效材质矩阵密度是西方厂中最深的对标(5类特效材质)，若做特效品类需以此为基准线之一；无T4/T6/T11覆盖，与我们池子的空白格一致</t>
  </si>
  <si>
    <t xml:space="preserve">Avery WePrint</t>
  </si>
  <si>
    <t xml:space="preserve">hybrid：母公司墨西哥/美国/中国均有工厂，WePrint专属产地未披露(估算)</t>
  </si>
  <si>
    <t xml:space="preserve">T1·T3·T5(条款号最精确)·T7·T8·T9·T10(材质规格最精确)·T12</t>
  </si>
  <si>
    <t xml:space="preserve">明文限定间接接触，FAQ否定直接接触选项</t>
  </si>
  <si>
    <t xml:space="preserve">明文不做认证可堆肥，FAQ原文否认Avery标签可堆肥</t>
  </si>
  <si>
    <t xml:space="preserve">全矩阵中资质表述最严谨的竞品，T4/T6均明文划清边界拒绝含糊——是我们做食品/环保声称时对标「如何说清楚义务边界」的范本；T10材质规格(Estate#8/#9)是我们若做酒饮标签的直接对标</t>
  </si>
  <si>
    <t xml:space="preserve">CustomStickers.com</t>
  </si>
  <si>
    <t xml:space="preserve">US：犹他州Springville总部+工厂(确证)</t>
  </si>
  <si>
    <t xml:space="preserve">T1·T2·T3·T5(询价制非标准)·T7·T8·T9(弱)·T11(宣称baby-safe未认证)·T12(5年户外寿命明确)</t>
  </si>
  <si>
    <t xml:space="preserve">模糊，把直接食品接触列为「联系我们」非标准询价项</t>
  </si>
  <si>
    <t xml:space="preserve">做，kraft/eco-solvent(声称级)</t>
  </si>
  <si>
    <t xml:space="preserve">唯一把T4处理为非标准询价项的竞品，界于「做」与「不做」之间，是我们设计T4政策时可参考的第三种表述方式(不承诺也不拒绝)</t>
  </si>
  <si>
    <t xml:space="preserve">Sttark</t>
  </si>
  <si>
    <t xml:space="preserve">US：南卡Greenville总部+工厂(确证)</t>
  </si>
  <si>
    <t xml:space="preserve">T3(主业)·T5·T7·T8·T9(VDP官方选项)·T10</t>
  </si>
  <si>
    <t xml:space="preserve">不做，明文仅indirect contact</t>
  </si>
  <si>
    <t xml:space="preserve">做，Terra Skin等材质(声称级)</t>
  </si>
  <si>
    <t xml:space="preserve">A4.5已引用的美国POD候选之一；主业是B2B包装标签而非消费贴纸，T1/T2明文不做——若我们承接&lt;100张定制单走美国POD层，Sttark模式提示「专业标签厂」与「消费贴纸厂」是两种不同业态，需明确自身定位</t>
  </si>
  <si>
    <t xml:space="preserve">Blue Label Packaging</t>
  </si>
  <si>
    <t xml:space="preserve">US：俄亥俄Lancaster总部+工厂(确证)</t>
  </si>
  <si>
    <t xml:space="preserve">T1·T3(主业)·T5·T7·T8(材质表最丰富之一)·T9(专页)·T10(wet-strength材质页明确标注)</t>
  </si>
  <si>
    <t xml:space="preserve">不做，未见声称</t>
  </si>
  <si>
    <t xml:space="preserve">做，Compostable Vellum(声称级)</t>
  </si>
  <si>
    <t xml:space="preserve">T10证据最扎实的美国厂之一(A1.5已核实无MOQ+自助门户+5天交期)，若我们做酒饮标签这是直接对标；T9独立产品页(序列号/批次/tamper seals)也是对标基准</t>
  </si>
  <si>
    <t xml:space="preserve">StickerGiant</t>
  </si>
  <si>
    <t xml:space="preserve">US：科罗拉多Longmont总部+工厂(确证)</t>
  </si>
  <si>
    <t xml:space="preserve">T1·T2·T3·T5·T7(诚实自曝kraft不可堆肥)·T8·T10(BOPP路线)·T12</t>
  </si>
  <si>
    <t xml:space="preserve">不做，无声称</t>
  </si>
  <si>
    <t xml:space="preserve">做但自曝不可堆肥(罕见诚实披露)</t>
  </si>
  <si>
    <t xml:space="preserve">StickerGiant对kraft/recycled「不可堆肥」的主动披露是行业里唯一的诚实样本，提示我们若做T7叙事级环保声称时，诚实披露材质局限反而可能是差异化信任点，而非隐藏局限</t>
  </si>
  <si>
    <t xml:space="preserve">noissue.co</t>
  </si>
  <si>
    <t xml:space="preserve">hybrid：新西兰创立+全球生产枢纽(美国/亚洲为主)(确证)</t>
  </si>
  <si>
    <t xml:space="preserve">T1·T2·T3·T5(弱)·T7·T9(防篡改子集非完整可变数据)</t>
  </si>
  <si>
    <t xml:space="preserve">不做（贴纸/标签范畴），食品直接接触能力在其纸类wrapping paper另一产品线</t>
  </si>
  <si>
    <t xml:space="preserve">做，大量用Compostable一词但无认证(声称级)</t>
  </si>
  <si>
    <t xml:space="preserve">噪音案例：反复用「Compostable」一词但无BPI/EN13432认证支撑，是FTC Green Guides风险的典型反例，我们若做T6/T7声称需避免重蹈此覆辙</t>
  </si>
  <si>
    <t xml:space="preserve">EcoEnclose</t>
  </si>
  <si>
    <t xml:space="preserve">hybrid：科罗拉多Louisville总部，大批量外包合作厂(确证)</t>
  </si>
  <si>
    <t xml:space="preserve">T1·T2·T3(shipping label为主)·T7(核心定位)</t>
  </si>
  <si>
    <t xml:space="preserve">做，核心定位100% PCW纸基(声称级，第三方引用明确其不特别宣传BPI认证)</t>
  </si>
  <si>
    <t xml:space="preserve">纯eco定位但材质最窄(无T8特效、无T4/T5食品垂直)，说明「环保叙事」与「品类深度」是互斥的两种打法，我们需要想清楚做哪一种</t>
  </si>
  <si>
    <t xml:space="preserve">Vograce</t>
  </si>
  <si>
    <t xml:space="preserve">CN-direct：浙江义乌工厂(确证)</t>
  </si>
  <si>
    <t xml:space="preserve">T1·T2·T8(全场最强)·T11(场景化)·T12(场景化)</t>
  </si>
  <si>
    <t xml:space="preserve">不做，无声称，动漫周边定位</t>
  </si>
  <si>
    <t xml:space="preserve">不做，完全无环保叙事</t>
  </si>
  <si>
    <t xml:space="preserve">中国动漫周边代工厂标杆，T8材质矩阵深度是我们若做特效品类的直接对标基准；完全不碰T3/T5/T7/T4/T6/T9/T10/T13，说明其客户群(潮玩/动漫)与我们的DTC贴纸定位有本质差异，抄款式不能照抄品类组合</t>
  </si>
  <si>
    <t xml:space="preserve">GS-JJ</t>
  </si>
  <si>
    <t xml:space="preserve">CN-direct：中国工厂+美国加州办公室(销售支持非产地)(确证)</t>
  </si>
  <si>
    <t xml:space="preserve">T1·T2·T12(弱)</t>
  </si>
  <si>
    <t xml:space="preserve">不做，检索确认无eco/kraft声称</t>
  </si>
  <si>
    <t xml:space="preserve">唯一在T8(全息/闪粉/镜面特效)上明确「不做」的竞品，与Vograce同为中国厂但材质深度截然相反(徽章/促销礼品定位)，反证T8特效并非「中国厂天然强项」而是需专门投入的能力</t>
  </si>
  <si>
    <t xml:space="preserve">三、战略判读（5条）</t>
  </si>
  <si>
    <t xml:space="preserve">透过这张矩阵看到的市场状态可以概括为一句话：竞争密度和资质门槛完全负相关，而我们的供应链池只在零门槛"区间是满的。具体拆开看五点："</t>
  </si>
  <si>
    <t xml:space="preserve">1. T1/T2/T3/T7/T8 五格是无门槛红海——12 家竞品里 8–11 家都覆盖，我们池内 36 家供应商（12 实核+24 扩充）也几乎全挤在这几格。这里没有认证护城河可言，纯拼价格、交期、材质深度和购买体验，恰好印证 A4.5 判断的软件层才是真正差异化所在"——供应链本身在这几格给不了壁垒。"</t>
  </si>
  <si>
    <t xml:space="preserve">2. T4（直接食品接触）/T6（认证可堆肥）/T11（儿童向CPSIA）是三个真门槛+真空白"的组合——不是我们供应链没找对方向，而是行业性缺口：T4 全池 0 家能提供 21 CFR 迁移测试报告号；T6/T11 经过两轮独立猎源（通用扩池 24 家 + Accio 定向 10 家）后仍是 0/36，12 家竞品同样 0/12 达标（Avery 甚至主动否认自己可堆肥）。这三格接不住——不是尽调不够，是这门供给目前基本不存在，要做就得从零建认证链条。"</t>
  </si>
  <si>
    <t xml:space="preserve">3. T9（防伪/可变数据）/T10（酒饮标签）/T13（工业耐久UL969）是竞争者也少"的技术/设施门槛区——12 家竞品里只有 4 家做全套可变数据、2 家有扎实的湿强纸证据，T13 更是 12 家竞品集体缺席（Sticker Mule 甚至公开拒绝背书）。这三格我们池内基本空白，唯一例外是 T13——Jiangsu OPT 手上有一条真实的 UL File MH60774 权威库实证，是全矩阵里唯一"竞品零覆盖+我们已有苗头"的稀缺组合，值得优先验证其印厂自身 UL Recognition 注册状态。"</t>
  </si>
  <si>
    <t xml:space="preserve">4. T5 是清晰的地理/业态分野而非拥挤——美国专业标签厂（Sttark/BlueLabel/StickerGiant）在食品外包装标签上扎堆，中国动漫周边代工厂（Vograce/GS-JJ）完全不碰。这提示若做食品/日化外标，供应商要往专业包装标签厂"方向找，而不是继续在通用贴纸代工池里挖。"</t>
  </si>
  <si>
    <t xml:space="preserve">5. 我们池子接得住 T1/T2/T3/T7/T8/T12（6 格），接不住 T4/T6/T9/T10/T11（5 格），T13 有唯一线索待验证——36 家供应商的能力矩阵基本印证了这个格局：池内候选全部挤在通用 vinyl/kraft/特效这几格，认证密度稍高的类型（食品接触、酒饮、儿童、可堆肥）全部悬空。如果要往门槛区扩张，不能靠现有名单深挖，得重新定向猎源（美国材料商、专业标签厂、UL认证印厂），这也是 A4.5能力缺口→需新增供应商类型"结论的直接延伸。"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</si>
</sst>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font>
      <sz val="10"/>
      <color theme="1"/>
      <name val="Calibri"/>
      <family val="2"/>
      <scheme val="minor"/>
    </font>
    <font>
      <b val="true"/>
      <sz val="9"/>
      <color rgb="FF000000"/>
      <name val="Calibri"/>
      <family val="2"/>
      <scheme val="minor"/>
    </font>
    <font>
      <b val="true"/>
      <sz val="10"/>
      <color rgb="FF000000"/>
      <name val="Calibri"/>
      <family val="2"/>
      <scheme val="minor"/>
    </font>
    <font>
      <sz val="10"/>
      <color rgb="FF000000"/>
      <name val="Calibri"/>
      <family val="2"/>
      <scheme val="minor"/>
    </font>
  </fonts>
  <fills count="26">
    <fill>
      <patternFill patternType="none">
        <fgColor/>
        <bgColor/>
      </patternFill>
    </fill>
    <fill>
      <patternFill patternType="gray125">
        <fgColor/>
        <bgColor/>
      </patternFill>
    </fill>
    <fill>
      <patternFill patternType="solid">
        <fgColor rgb="FFE8F0FE"/>
        <bgColor/>
      </patternFill>
    </fill>
    <fill>
      <patternFill patternType="solid">
        <fgColor rgb="FFF5F5F5"/>
        <bgColor/>
      </patternFill>
    </fill>
    <fill>
      <patternFill patternType="solid">
        <fgColor rgb="FFE3EEE7"/>
        <bgColor/>
      </patternFill>
    </fill>
    <fill>
      <patternFill patternType="solid">
        <fgColor rgb="FFF5E3DE"/>
        <bgColor/>
      </patternFill>
    </fill>
    <fill>
      <patternFill patternType="solid">
        <fgColor rgb="FFE8F0FE"/>
        <bgColor/>
      </patternFill>
    </fill>
    <fill>
      <patternFill patternType="solid">
        <fgColor rgb="FFF5F5F5"/>
        <bgColor/>
      </patternFill>
    </fill>
    <fill>
      <patternFill patternType="solid">
        <fgColor rgb="FFF6ECD9"/>
        <bgColor/>
      </patternFill>
    </fill>
    <fill>
      <patternFill patternType="solid">
        <fgColor rgb="FFF5F5F5"/>
        <bgColor/>
      </patternFill>
    </fill>
    <fill>
      <patternFill patternType="solid">
        <fgColor rgb="FFE8F0FE"/>
        <bgColor/>
      </patternFill>
    </fill>
    <fill>
      <patternFill patternType="solid">
        <fgColor rgb="FFF5F5F5"/>
        <bgColor/>
      </patternFill>
    </fill>
    <fill>
      <patternFill patternType="solid">
        <fgColor rgb="FFE8F0FE"/>
        <bgColor/>
      </patternFill>
    </fill>
    <fill>
      <patternFill patternType="solid">
        <fgColor rgb="FFF5F5F5"/>
        <bgColor/>
      </patternFill>
    </fill>
    <fill>
      <patternFill patternType="solid">
        <fgColor rgb="FFE8F0FE"/>
        <bgColor/>
      </patternFill>
    </fill>
    <fill>
      <patternFill patternType="solid">
        <fgColor rgb="FFF5F5F5"/>
        <bgColor/>
      </patternFill>
    </fill>
    <fill>
      <patternFill patternType="solid">
        <fgColor rgb="FFF6ECD9"/>
        <bgColor/>
      </patternFill>
    </fill>
    <fill>
      <patternFill patternType="solid">
        <fgColor rgb="FFE8F0FE"/>
        <bgColor/>
      </patternFill>
    </fill>
    <fill>
      <patternFill patternType="solid">
        <fgColor rgb="FFF5F5F5"/>
        <bgColor/>
      </patternFill>
    </fill>
    <fill>
      <patternFill patternType="solid">
        <fgColor rgb="FFF6ECD9"/>
        <bgColor/>
      </patternFill>
    </fill>
    <fill>
      <patternFill patternType="solid">
        <fgColor rgb="FFE8F0FE"/>
        <bgColor/>
      </patternFill>
    </fill>
    <fill>
      <patternFill patternType="solid">
        <fgColor rgb="FFF5F5F5"/>
        <bgColor/>
      </patternFill>
    </fill>
    <fill>
      <patternFill patternType="solid">
        <fgColor rgb="FFF6ECD9"/>
        <bgColor/>
      </patternFill>
    </fill>
    <fill>
      <patternFill patternType="solid">
        <fgColor rgb="FFE8F0FE"/>
        <bgColor/>
      </patternFill>
    </fill>
    <fill>
      <patternFill patternType="solid">
        <fgColor rgb="FFF6ECD9"/>
        <bgColor/>
      </patternFill>
    </fill>
    <fill>
      <patternFill patternType="solid">
        <fgColor rgb="FFF5F5F5"/>
        <bgColor/>
      </patternFill>
    </fill>
  </fills>
  <borders count="1">
    <border>
      <left/>
      <right/>
      <top/>
      <bottom/>
      <diagonal/>
    </border>
  </borders>
  <cellStyleXfs count="1">
    <xf applyAlignment="true" applyBorder="false" applyFill="false" applyFont="false" applyNumberFormat="false" applyProtection="false" borderId="0" fillId="0" fontId="0" numFmtId="0"/>
  </cellStyleXfs>
  <cellXfs count="47">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0" fillId="2" fontId="1" numFmtId="0" xfId="0">
      <alignment vertical="center"/>
    </xf>
    <xf applyAlignment="true" applyBorder="false" applyFill="true" applyFont="true" applyNumberFormat="false" applyProtection="false" borderId="0" fillId="3" fontId="2" numFmtId="0" xfId="0">
      <alignment vertical="center"/>
    </xf>
    <xf applyAlignment="true" applyBorder="false" applyFill="true" applyFont="true" applyNumberFormat="false" applyProtection="false" borderId="0" fillId="4" fontId="2" numFmtId="0" xfId="0">
      <alignment vertical="center"/>
    </xf>
    <xf applyAlignment="true" applyBorder="false" applyFill="true" applyFont="true" applyNumberFormat="false" applyProtection="false" borderId="0" fillId="5" fontId="2" numFmtId="0" xfId="0">
      <alignment vertical="center"/>
    </xf>
    <xf applyAlignment="true" applyBorder="false" applyFill="true" applyFont="true" applyNumberFormat="false" applyProtection="false" borderId="0" fillId="6" fontId="1" numFmtId="0" xfId="0">
      <alignment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0" fillId="7" fontId="2" numFmtId="0" xfId="0">
      <alignment vertical="center"/>
    </xf>
    <xf applyAlignment="true" applyBorder="false" applyFill="true" applyFont="true" applyNumberFormat="false" applyProtection="false" borderId="0" fillId="8" fontId="2" numFmtId="0" xfId="0">
      <alignment vertical="top" wrapText="true"/>
    </xf>
    <xf applyAlignment="true" applyBorder="false" applyFill="true" applyFont="true" applyNumberFormat="false" applyProtection="false" borderId="0" fillId="9" fontId="2" numFmtId="0" xfId="0">
      <alignment vertical="top" wrapText="true"/>
    </xf>
    <xf applyAlignment="true" applyBorder="false" applyFill="false" applyFont="true" applyNumberFormat="false" applyProtection="false" borderId="0" fillId="0" fontId="2" numFmtId="0" xfId="0">
      <alignment vertical="top" wrapText="true"/>
    </xf>
    <xf applyAlignment="true" applyBorder="false" applyFill="false" applyFont="true" applyNumberFormat="false" applyProtection="false" borderId="0" fillId="0" fontId="3" numFmtId="0" xfId="0">
      <alignment vertical="top" wrapText="true"/>
    </xf>
    <xf applyAlignment="true" applyBorder="false" applyFill="true" applyFont="true" applyNumberFormat="false" applyProtection="false" borderId="0" fillId="8" fontId="3" numFmtId="0" xfId="0">
      <alignment vertical="top" wrapText="true"/>
    </xf>
    <xf applyAlignment="true" applyBorder="false" applyFill="true" applyFont="true" applyNumberFormat="false" applyProtection="false" borderId="0" fillId="10" fontId="1" numFmtId="0" xfId="0">
      <alignment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0" fillId="11" fontId="2" numFmtId="0" xfId="0">
      <alignment vertical="center"/>
    </xf>
    <xf applyAlignment="true" applyBorder="false" applyFill="true" applyFont="true" applyNumberFormat="false" applyProtection="false" borderId="0" fillId="12" fontId="1" numFmtId="0" xfId="0">
      <alignment vertical="center"/>
    </xf>
    <xf applyAlignment="true" applyBorder="false" applyFill="true" applyFont="true" applyNumberFormat="false" applyProtection="false" borderId="0" fillId="13" fontId="2" numFmtId="0" xfId="0">
      <alignment vertical="top" wrapText="true"/>
    </xf>
    <xf applyAlignment="true" applyBorder="false" applyFill="false" applyFont="true" applyNumberFormat="false" applyProtection="false" borderId="0" fillId="0" fontId="2" numFmtId="0" xfId="0">
      <alignment vertical="top" wrapText="true"/>
    </xf>
    <xf applyAlignment="true" applyBorder="false" applyFill="false" applyFont="true" applyNumberFormat="false" applyProtection="false" borderId="0" fillId="0" fontId="3" numFmtId="0" xfId="0">
      <alignment vertical="top" wrapText="true"/>
    </xf>
    <xf applyAlignment="true" applyBorder="false" applyFill="true" applyFont="true" applyNumberFormat="false" applyProtection="false" borderId="0" fillId="14" fontId="1" numFmtId="0" xfId="0">
      <alignment vertical="center"/>
    </xf>
    <xf applyAlignment="true" applyBorder="false" applyFill="true" applyFont="true" applyNumberFormat="false" applyProtection="false" borderId="0" fillId="15" fontId="2" numFmtId="0" xfId="0">
      <alignment vertical="top" wrapText="true"/>
    </xf>
    <xf applyAlignment="true" applyBorder="false" applyFill="false" applyFont="true" applyNumberFormat="false" applyProtection="false" borderId="0" fillId="0" fontId="2" numFmtId="0" xfId="0">
      <alignment vertical="top" wrapText="true"/>
    </xf>
    <xf applyAlignment="true" applyBorder="false" applyFill="false" applyFont="true" applyNumberFormat="false" applyProtection="false" borderId="0" fillId="0" fontId="3" numFmtId="0" xfId="0">
      <alignment vertical="top" wrapText="true"/>
    </xf>
    <xf applyAlignment="true" applyBorder="false" applyFill="false" applyFont="true" applyNumberFormat="false" applyProtection="false" borderId="0" fillId="0" fontId="3" numFmtId="0" xfId="0">
      <alignment vertical="top" wrapText="true"/>
    </xf>
    <xf applyAlignment="true" applyBorder="false" applyFill="true" applyFont="true" applyNumberFormat="false" applyProtection="false" borderId="0" fillId="16" fontId="3" numFmtId="0" xfId="0">
      <alignment vertical="top" wrapText="true"/>
    </xf>
    <xf applyAlignment="true" applyBorder="false" applyFill="true" applyFont="true" applyNumberFormat="false" applyProtection="false" borderId="0" fillId="16" fontId="2" numFmtId="0" xfId="0">
      <alignment vertical="top" wrapText="true"/>
    </xf>
    <xf applyAlignment="true" applyBorder="false" applyFill="true" applyFont="true" applyNumberFormat="false" applyProtection="false" borderId="0" fillId="17" fontId="1" numFmtId="0" xfId="0">
      <alignment vertical="center"/>
    </xf>
    <xf applyAlignment="true" applyBorder="false" applyFill="true" applyFont="true" applyNumberFormat="false" applyProtection="false" borderId="0" fillId="18" fontId="2" numFmtId="0" xfId="0">
      <alignment vertical="top" wrapText="true"/>
    </xf>
    <xf applyAlignment="true" applyBorder="false" applyFill="false" applyFont="true" applyNumberFormat="false" applyProtection="false" borderId="0" fillId="0" fontId="2" numFmtId="0" xfId="0">
      <alignment vertical="top" wrapText="true"/>
    </xf>
    <xf applyAlignment="true" applyBorder="false" applyFill="false" applyFont="true" applyNumberFormat="false" applyProtection="false" borderId="0" fillId="0" fontId="3" numFmtId="0" xfId="0">
      <alignment vertical="top" wrapText="true"/>
    </xf>
    <xf applyAlignment="true" applyBorder="false" applyFill="false" applyFont="true" applyNumberFormat="false" applyProtection="false" borderId="0" fillId="0" fontId="2" numFmtId="0" xfId="0">
      <alignment vertical="top" wrapText="true"/>
    </xf>
    <xf applyAlignment="true" applyBorder="false" applyFill="false" applyFont="true" applyNumberFormat="false" applyProtection="false" borderId="0" fillId="0" fontId="2" numFmtId="0" xfId="0">
      <alignment vertical="top" wrapText="true"/>
    </xf>
    <xf applyAlignment="true" applyBorder="false" applyFill="false" applyFont="true" applyNumberFormat="false" applyProtection="false" borderId="0" fillId="0" fontId="3" numFmtId="0" xfId="0">
      <alignment vertical="top" wrapText="true"/>
    </xf>
    <xf applyAlignment="true" applyBorder="false" applyFill="true" applyFont="true" applyNumberFormat="false" applyProtection="false" borderId="0" fillId="19" fontId="2" numFmtId="0" xfId="0">
      <alignment vertical="top" wrapText="true"/>
    </xf>
    <xf applyAlignment="true" applyBorder="false" applyFill="true" applyFont="true" applyNumberFormat="false" applyProtection="false" borderId="0" fillId="20" fontId="1" numFmtId="0" xfId="0">
      <alignment vertical="top" wrapText="true"/>
    </xf>
    <xf applyAlignment="true" applyBorder="false" applyFill="true" applyFont="true" applyNumberFormat="false" applyProtection="false" borderId="0" fillId="20" fontId="1" numFmtId="0" xfId="0">
      <alignment vertical="top" wrapText="true"/>
    </xf>
    <xf applyAlignment="true" applyBorder="false" applyFill="true" applyFont="true" applyNumberFormat="false" applyProtection="false" borderId="0" fillId="21" fontId="2" numFmtId="0" xfId="0">
      <alignment vertical="top" wrapText="true"/>
    </xf>
    <xf applyAlignment="true" applyBorder="false" applyFill="true" applyFont="true" applyNumberFormat="false" applyProtection="false" borderId="0" fillId="21" fontId="2" numFmtId="0" xfId="0">
      <alignment vertical="top" wrapText="true"/>
    </xf>
    <xf applyAlignment="true" applyBorder="false" applyFill="false" applyFont="true" applyNumberFormat="false" applyProtection="false" borderId="0" fillId="0" fontId="2" numFmtId="0" xfId="0">
      <alignment vertical="top" wrapText="true"/>
    </xf>
    <xf applyAlignment="true" applyBorder="false" applyFill="false" applyFont="true" applyNumberFormat="false" applyProtection="false" borderId="0" fillId="0" fontId="3" numFmtId="0" xfId="0">
      <alignment vertical="top" wrapText="true"/>
    </xf>
    <xf applyAlignment="true" applyBorder="false" applyFill="true" applyFont="true" applyNumberFormat="false" applyProtection="false" borderId="0" fillId="22" fontId="3" numFmtId="0" xfId="0">
      <alignment vertical="top" wrapText="true"/>
    </xf>
    <xf applyAlignment="true" applyBorder="false" applyFill="true" applyFont="true" applyNumberFormat="false" applyProtection="false" borderId="0" fillId="23" fontId="1" numFmtId="0" xfId="0">
      <alignment vertical="top" wrapText="true"/>
    </xf>
    <xf applyAlignment="true" applyBorder="false" applyFill="true" applyFont="true" applyNumberFormat="false" applyProtection="false" borderId="0" fillId="24" fontId="3" numFmtId="0" xfId="0">
      <alignment vertical="top" wrapText="true"/>
    </xf>
    <xf applyAlignment="true" applyBorder="false" applyFill="false" applyFont="true" applyNumberFormat="false" applyProtection="false" borderId="0" fillId="0" fontId="3" numFmtId="0" xfId="0">
      <alignment vertical="top" wrapText="true"/>
    </xf>
    <xf applyAlignment="true" applyBorder="false" applyFill="true" applyFont="true" applyNumberFormat="false" applyProtection="false" borderId="0" fillId="25" fontId="2" numFmtId="0" xfId="0">
      <alignment vertical="top" wrapText="true"/>
    </xf>
    <xf applyAlignment="true" applyBorder="false" applyFill="false" applyFont="true" applyNumberFormat="false" applyProtection="false" borderId="0" fillId="0" fontId="2" numFmtId="0" xfId="0">
      <alignment vertical="top"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3.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4.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5.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6.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7.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8.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9.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0.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1.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cols>
    <col collapsed="false" customWidth="true" hidden="false" max="5" min="5" style="0" width="14"/>
    <col collapsed="false" customWidth="true" hidden="false" max="6" min="6" style="0" width="23"/>
    <col collapsed="false" customWidth="true" hidden="false" max="1" min="1" style="0" width="23"/>
    <col collapsed="false" customWidth="true" hidden="false" max="2" min="2" style="0" width="44"/>
    <col collapsed="false" customWidth="true" hidden="false" max="3" min="3" style="0" width="14"/>
    <col collapsed="false" customWidth="true" hidden="false" max="4" min="4" style="0" width="14"/>
  </cols>
  <sheetData>
    <row r="1">
      <c r="A1" s="1" t="s">
        <v>1</v>
      </c>
      <c r="B1" s="1"/>
      <c r="C1" s="1"/>
      <c r="D1" s="1"/>
      <c r="E1" s="1"/>
      <c r="F1" s="1"/>
    </row>
    <row r="2">
      <c r="A2" s="2" t="s">
        <v>2</v>
      </c>
      <c r="B2" s="2" t="s">
        <v>3</v>
      </c>
      <c r="C2" s="2" t="s">
        <v>4</v>
      </c>
      <c r="D2" s="2" t="s">
        <v>5</v>
      </c>
      <c r="E2" s="2" t="s">
        <v>6</v>
      </c>
      <c r="F2" s="2" t="s">
        <v>7</v>
      </c>
    </row>
    <row r="3">
      <c r="A3" t="s">
        <v>8</v>
      </c>
      <c r="B3" t="s">
        <v>9</v>
      </c>
      <c r="C3">
        <v>62</v>
      </c>
      <c r="D3">
        <v>135</v>
      </c>
      <c r="E3">
        <v>200</v>
      </c>
      <c r="F3">
        <v>54</v>
      </c>
    </row>
    <row r="4">
      <c r="A4" t="s">
        <v>10</v>
      </c>
      <c r="B4" t="s">
        <v>11</v>
      </c>
      <c r="C4">
        <v>100</v>
      </c>
      <c r="D4">
        <v>500</v>
      </c>
      <c r="E4">
        <v>1000</v>
      </c>
      <c r="F4">
        <v>50</v>
      </c>
    </row>
    <row r="5">
      <c r="A5" t="s">
        <v>12</v>
      </c>
      <c r="B5" t="s">
        <v>13</v>
      </c>
      <c r="C5">
        <f>C3/C4</f>
      </c>
      <c r="D5">
        <f>D3/D4</f>
      </c>
      <c r="E5">
        <f>E3/E4</f>
      </c>
      <c r="F5">
        <f>F3/F4</f>
      </c>
    </row>
    <row r="6">
      <c r="A6" t="s">
        <v>14</v>
      </c>
      <c r="B6" t="s">
        <v>15</v>
      </c>
      <c r="C6">
        <v>0.08</v>
      </c>
      <c r="D6">
        <v>0.05</v>
      </c>
      <c r="E6">
        <v>0.03</v>
      </c>
    </row>
    <row r="7">
      <c r="A7" t="s">
        <v>16</v>
      </c>
      <c r="B7" t="s">
        <v>17</v>
      </c>
      <c r="C7">
        <f>C6*C4</f>
      </c>
      <c r="D7">
        <f>D6*D4</f>
      </c>
      <c r="E7">
        <f>E6*E4</f>
      </c>
      <c r="F7">
        <v>28.5</v>
      </c>
    </row>
    <row r="8">
      <c r="A8" t="s">
        <v>18</v>
      </c>
      <c r="B8" t="s">
        <v>19</v>
      </c>
      <c r="C8">
        <v>0.375</v>
      </c>
      <c r="D8">
        <v>0.375</v>
      </c>
      <c r="E8">
        <v>0.375</v>
      </c>
      <c r="F8">
        <v>0</v>
      </c>
    </row>
    <row r="9">
      <c r="A9" t="s">
        <v>20</v>
      </c>
      <c r="B9" t="s">
        <v>21</v>
      </c>
      <c r="C9">
        <f>C7*C8</f>
      </c>
      <c r="D9">
        <f>D7*D8</f>
      </c>
      <c r="E9">
        <f>E7*E8</f>
      </c>
      <c r="F9">
        <v>0</v>
      </c>
    </row>
    <row r="10">
      <c r="A10" t="s">
        <v>22</v>
      </c>
      <c r="B10" t="s">
        <v>23</v>
      </c>
      <c r="C10">
        <v>1.5</v>
      </c>
      <c r="D10">
        <v>3</v>
      </c>
      <c r="E10">
        <v>4</v>
      </c>
      <c r="F10">
        <v>0</v>
      </c>
    </row>
    <row r="11">
      <c r="A11" t="s">
        <v>24</v>
      </c>
      <c r="B11" t="s">
        <v>25</v>
      </c>
      <c r="C11">
        <v>5.5</v>
      </c>
      <c r="D11">
        <v>6</v>
      </c>
      <c r="E11">
        <v>8</v>
      </c>
      <c r="F11">
        <v>0</v>
      </c>
    </row>
    <row r="12">
      <c r="A12" t="s">
        <v>26</v>
      </c>
      <c r="B12" t="s">
        <v>27</v>
      </c>
      <c r="C12">
        <v>0.095</v>
      </c>
      <c r="D12">
        <v>0.095</v>
      </c>
      <c r="E12">
        <v>0.095</v>
      </c>
      <c r="F12">
        <v>0.095</v>
      </c>
    </row>
    <row r="13">
      <c r="A13" t="s">
        <v>28</v>
      </c>
      <c r="B13" t="s">
        <v>29</v>
      </c>
      <c r="C13">
        <f>C3*C12</f>
      </c>
      <c r="D13">
        <f>D3*D12</f>
      </c>
      <c r="E13">
        <f>E3*E12</f>
      </c>
      <c r="F13">
        <f>F3*F12</f>
      </c>
    </row>
    <row r="14">
      <c r="A14" t="s">
        <v>30</v>
      </c>
      <c r="B14" t="s">
        <v>31</v>
      </c>
      <c r="C14">
        <v>0.03</v>
      </c>
      <c r="D14">
        <v>0.02</v>
      </c>
      <c r="E14">
        <v>0.015</v>
      </c>
      <c r="F14">
        <v>0.03</v>
      </c>
    </row>
    <row r="15">
      <c r="A15" t="s">
        <v>32</v>
      </c>
      <c r="B15" t="s">
        <v>33</v>
      </c>
      <c r="C15">
        <f>C3*C14</f>
      </c>
      <c r="D15">
        <f>D3*D14</f>
      </c>
      <c r="E15">
        <f>E3*E14</f>
      </c>
      <c r="F15">
        <f>F3*F14</f>
      </c>
    </row>
    <row r="16">
      <c r="A16" t="s">
        <v>34</v>
      </c>
      <c r="B16" t="s">
        <v>35</v>
      </c>
      <c r="C16">
        <f>C7+C9+C10+C11+C13+C15</f>
      </c>
      <c r="D16">
        <f>D7+D9+D10+D11+D13+D15</f>
      </c>
      <c r="E16">
        <f>E7+E9+E10+E11+E13+E15</f>
      </c>
      <c r="F16">
        <f>F7+F9+F10+F11+F13+F15</f>
      </c>
    </row>
    <row r="17">
      <c r="A17" s="3" t="s">
        <v>36</v>
      </c>
      <c r="B17" s="3" t="s">
        <v>37</v>
      </c>
      <c r="C17" s="3">
        <f>C3-C16</f>
      </c>
      <c r="D17" s="3">
        <f>D3-D16</f>
      </c>
      <c r="E17" s="3">
        <f>E3-E16</f>
      </c>
      <c r="F17" s="3">
        <f>F3-F16</f>
      </c>
    </row>
    <row r="18">
      <c r="A18" s="3" t="s">
        <v>38</v>
      </c>
      <c r="B18" s="3" t="s">
        <v>39</v>
      </c>
      <c r="C18" s="3">
        <f>C17/C3</f>
      </c>
      <c r="D18" s="3">
        <f>D17/D3</f>
      </c>
      <c r="E18" s="3">
        <f>E17/E3</f>
      </c>
      <c r="F18" s="3">
        <f>F17/F3</f>
      </c>
    </row>
    <row r="19">
      <c r="A19" t="s">
        <v>40</v>
      </c>
      <c r="B19" t="s">
        <v>41</v>
      </c>
      <c r="C19">
        <v>115</v>
      </c>
      <c r="D19">
        <v>115</v>
      </c>
      <c r="E19">
        <v>115</v>
      </c>
      <c r="F19">
        <v>115</v>
      </c>
    </row>
    <row r="20">
      <c r="A20" t="s">
        <v>42</v>
      </c>
      <c r="B20" t="s">
        <v>43</v>
      </c>
      <c r="C20">
        <v>0</v>
      </c>
      <c r="D20">
        <v>0</v>
      </c>
      <c r="E20">
        <v>0</v>
      </c>
      <c r="F20">
        <v>0</v>
      </c>
    </row>
    <row r="21">
      <c r="A21" s="4" t="s">
        <v>44</v>
      </c>
      <c r="B21" s="4" t="s">
        <v>45</v>
      </c>
      <c r="C21" s="4">
        <f>C17-C19</f>
      </c>
      <c r="D21" s="4">
        <f>D17-D19</f>
      </c>
      <c r="E21" s="4">
        <f>E17-E19</f>
      </c>
      <c r="F21" s="4">
        <f>F17-F19</f>
      </c>
    </row>
    <row r="22">
      <c r="A22" s="4" t="s">
        <v>46</v>
      </c>
      <c r="B22" s="4" t="s">
        <v>47</v>
      </c>
      <c r="C22" s="4">
        <f>C21/C3</f>
      </c>
      <c r="D22" s="4">
        <f>D21/D3</f>
      </c>
      <c r="E22" s="4">
        <f>E21/E3</f>
      </c>
      <c r="F22" s="4">
        <f>F21/F3</f>
      </c>
    </row>
    <row r="23">
      <c r="A23" s="4" t="s">
        <v>48</v>
      </c>
      <c r="B23" s="4" t="s">
        <v>49</v>
      </c>
      <c r="C23" s="4">
        <f>C19/C17</f>
      </c>
      <c r="D23" s="4">
        <f>D19/D17</f>
      </c>
      <c r="E23" s="4">
        <f>E19/E17</f>
      </c>
      <c r="F23" s="4">
        <f>F19/F17</f>
      </c>
    </row>
    <row r="24">
      <c r="A24" t="s">
        <v>50</v>
      </c>
      <c r="B24" t="s">
        <v>51</v>
      </c>
    </row>
    <row r="25">
      <c r="A25" t="s">
        <v>52</v>
      </c>
      <c r="B25" t="s">
        <v>53</v>
      </c>
    </row>
  </sheetData>
  <picture r:id="rId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29"/>
    <col collapsed="false" customWidth="true" hidden="false" max="2" min="2" style="0" width="29"/>
    <col collapsed="false" customWidth="true" hidden="false" max="3" min="3" style="0" width="29"/>
    <col collapsed="false" customWidth="true" hidden="false" max="4" min="4" style="0" width="34"/>
    <col collapsed="false" customWidth="true" hidden="false" max="5" min="5" style="0" width="34"/>
    <col collapsed="false" customWidth="true" hidden="false" max="6" min="6" style="0" width="34"/>
  </cols>
  <sheetData>
    <row r="1">
      <c r="A1" s="5" t="s">
        <v>54</v>
      </c>
      <c r="B1" s="5"/>
      <c r="C1" s="5"/>
      <c r="D1" s="5"/>
      <c r="E1" s="5"/>
      <c r="F1" s="5"/>
    </row>
    <row r="2"/>
    <row r="3">
      <c r="A3" s="6" t="s">
        <v>55</v>
      </c>
      <c r="B3" s="6"/>
      <c r="C3" s="6"/>
      <c r="D3" s="6"/>
      <c r="E3" s="6"/>
      <c r="F3" s="6"/>
    </row>
    <row r="4">
      <c r="A4" s="7" t="s">
        <v>56</v>
      </c>
      <c r="B4" s="7" t="s">
        <v>57</v>
      </c>
      <c r="C4" s="7" t="s">
        <v>58</v>
      </c>
      <c r="D4" s="7" t="s">
        <v>59</v>
      </c>
      <c r="E4" s="7" t="s">
        <v>60</v>
      </c>
      <c r="F4" s="7" t="s">
        <v>61</v>
      </c>
    </row>
    <row r="5">
      <c r="A5" t="s">
        <v>62</v>
      </c>
      <c r="B5" t="s">
        <v>63</v>
      </c>
      <c r="C5" t="s">
        <v>64</v>
      </c>
      <c r="D5" t="s">
        <v>65</v>
      </c>
      <c r="E5" t="s">
        <v>66</v>
      </c>
      <c r="F5" t="s">
        <v>67</v>
      </c>
    </row>
    <row r="6">
      <c r="A6" t="s">
        <v>68</v>
      </c>
      <c r="B6" t="s">
        <v>69</v>
      </c>
      <c r="C6" t="s">
        <v>70</v>
      </c>
      <c r="D6" t="s">
        <v>71</v>
      </c>
      <c r="E6" t="s">
        <v>72</v>
      </c>
      <c r="F6" t="s">
        <v>73</v>
      </c>
    </row>
    <row r="7">
      <c r="A7" t="s">
        <v>74</v>
      </c>
      <c r="B7" t="s">
        <v>75</v>
      </c>
      <c r="C7" t="s">
        <v>76</v>
      </c>
      <c r="D7" t="s">
        <v>77</v>
      </c>
      <c r="E7" t="s">
        <v>72</v>
      </c>
      <c r="F7" t="s">
        <v>78</v>
      </c>
    </row>
    <row r="8">
      <c r="A8" t="s">
        <v>79</v>
      </c>
      <c r="B8" t="s">
        <v>80</v>
      </c>
      <c r="C8" t="s">
        <v>81</v>
      </c>
      <c r="D8" t="s">
        <v>81</v>
      </c>
      <c r="E8" t="s">
        <v>72</v>
      </c>
      <c r="F8" t="s">
        <v>82</v>
      </c>
    </row>
    <row r="9"/>
    <row r="10">
      <c r="A10" s="6" t="s">
        <v>83</v>
      </c>
      <c r="B10" s="6"/>
      <c r="C10" s="6"/>
      <c r="D10" s="6"/>
      <c r="E10" s="6"/>
      <c r="F10" s="6"/>
    </row>
    <row r="11">
      <c r="A11" s="7" t="s">
        <v>84</v>
      </c>
      <c r="B11" s="7" t="s">
        <v>85</v>
      </c>
      <c r="C11" s="7" t="s">
        <v>86</v>
      </c>
      <c r="D11" s="7"/>
      <c r="E11" s="7"/>
      <c r="F11" s="7"/>
    </row>
    <row r="12">
      <c r="A12" t="s">
        <v>87</v>
      </c>
      <c r="B12" t="s">
        <v>88</v>
      </c>
      <c r="C12" t="s">
        <v>89</v>
      </c>
    </row>
    <row r="13">
      <c r="A13" t="s">
        <v>90</v>
      </c>
      <c r="B13" t="s">
        <v>91</v>
      </c>
      <c r="C13" t="s">
        <v>92</v>
      </c>
    </row>
    <row r="14">
      <c r="A14" t="s">
        <v>93</v>
      </c>
      <c r="B14" t="s">
        <v>94</v>
      </c>
      <c r="C14" t="s">
        <v>95</v>
      </c>
    </row>
    <row r="15">
      <c r="A15" t="s">
        <v>96</v>
      </c>
      <c r="B15" t="s">
        <v>97</v>
      </c>
      <c r="C15" t="s">
        <v>98</v>
      </c>
    </row>
    <row r="16"/>
    <row r="17">
      <c r="A17" s="6" t="s">
        <v>99</v>
      </c>
      <c r="B17" s="6"/>
      <c r="C17" s="6"/>
      <c r="D17" s="6"/>
      <c r="E17" s="6"/>
      <c r="F17" s="6"/>
    </row>
    <row r="18">
      <c r="A18" s="7" t="s">
        <v>100</v>
      </c>
      <c r="B18" s="7" t="s">
        <v>101</v>
      </c>
      <c r="C18" s="7" t="s">
        <v>102</v>
      </c>
      <c r="D18" s="7"/>
      <c r="E18" s="7"/>
      <c r="F18" s="7"/>
    </row>
    <row r="19">
      <c r="A19" t="s">
        <v>103</v>
      </c>
      <c r="B19" t="s">
        <v>104</v>
      </c>
      <c r="C19" t="s">
        <v>105</v>
      </c>
    </row>
    <row r="20">
      <c r="A20" t="s">
        <v>106</v>
      </c>
      <c r="B20" t="s">
        <v>107</v>
      </c>
      <c r="C20" t="s">
        <v>108</v>
      </c>
    </row>
    <row r="21">
      <c r="A21" t="s">
        <v>109</v>
      </c>
      <c r="B21" t="s">
        <v>110</v>
      </c>
      <c r="C21" t="s">
        <v>111</v>
      </c>
    </row>
    <row r="22">
      <c r="A22" t="s">
        <v>112</v>
      </c>
      <c r="B22" t="s">
        <v>113</v>
      </c>
      <c r="C22" t="s">
        <v>114</v>
      </c>
    </row>
    <row r="23">
      <c r="A23" t="s">
        <v>115</v>
      </c>
      <c r="B23" t="s">
        <v>116</v>
      </c>
      <c r="C23" t="s">
        <v>117</v>
      </c>
    </row>
    <row r="24">
      <c r="A24" t="s">
        <v>118</v>
      </c>
      <c r="B24" t="s">
        <v>119</v>
      </c>
      <c r="C24" t="s">
        <v>120</v>
      </c>
    </row>
    <row r="25">
      <c r="A25" t="s">
        <v>121</v>
      </c>
      <c r="B25" t="s">
        <v>122</v>
      </c>
      <c r="C25" t="s">
        <v>123</v>
      </c>
    </row>
    <row r="26">
      <c r="A26" t="s">
        <v>124</v>
      </c>
      <c r="B26" t="s">
        <v>125</v>
      </c>
      <c r="C26" t="s">
        <v>126</v>
      </c>
    </row>
    <row r="27"/>
    <row r="28">
      <c r="A28" s="6" t="s">
        <v>127</v>
      </c>
      <c r="B28" s="6"/>
      <c r="C28" s="6"/>
      <c r="D28" s="6"/>
      <c r="E28" s="6"/>
      <c r="F28" s="6"/>
    </row>
    <row r="29">
      <c r="A29" t="s">
        <v>128</v>
      </c>
    </row>
    <row r="30">
      <c r="A30" t="s">
        <v>129</v>
      </c>
    </row>
    <row r="31">
      <c r="A31" t="s">
        <v>130</v>
      </c>
    </row>
    <row r="32">
      <c r="A32" t="s">
        <v>131</v>
      </c>
    </row>
    <row r="33"/>
    <row r="34">
      <c r="A34" s="6" t="s">
        <v>132</v>
      </c>
      <c r="B34" s="6"/>
      <c r="C34" s="6"/>
      <c r="D34" s="6"/>
      <c r="E34" s="6"/>
      <c r="F34" s="6"/>
    </row>
    <row r="35">
      <c r="A35" t="s">
        <v>133</v>
      </c>
    </row>
    <row r="36">
      <c r="A36" t="s">
        <v>134</v>
      </c>
    </row>
    <row r="37">
      <c r="A37" t="s">
        <v>135</v>
      </c>
    </row>
    <row r="38">
      <c r="A38" t="s">
        <v>136</v>
      </c>
    </row>
  </sheetData>
  <picture r:id="rId1"/>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5" min="5" style="0" width="28"/>
    <col collapsed="false" customWidth="true" hidden="false" max="6" min="6" style="0" width="30"/>
  </cols>
  <sheetData>
    <row r="1">
      <c r="A1" t="s">
        <v>137</v>
      </c>
    </row>
    <row r="2">
      <c r="A2" t="s">
        <v>138</v>
      </c>
      <c r="B2" t="s">
        <v>139</v>
      </c>
      <c r="C2" t="s">
        <v>140</v>
      </c>
      <c r="D2" t="s">
        <v>141</v>
      </c>
      <c r="E2" t="s">
        <v>142</v>
      </c>
      <c r="F2" t="s">
        <v>143</v>
      </c>
      <c r="G2" t="s">
        <v>144</v>
      </c>
      <c r="H2" t="s">
        <v>145</v>
      </c>
      <c r="I2" t="s">
        <v>146</v>
      </c>
      <c r="J2" t="s">
        <v>147</v>
      </c>
      <c r="K2" t="s">
        <v>148</v>
      </c>
    </row>
    <row r="3">
      <c r="A3" t="s">
        <v>149</v>
      </c>
      <c r="B3" t="s">
        <v>150</v>
      </c>
      <c r="C3" t="s">
        <v>151</v>
      </c>
      <c r="D3" t="s">
        <v>152</v>
      </c>
      <c r="E3" t="s">
        <v>153</v>
      </c>
      <c r="F3" t="s">
        <v>154</v>
      </c>
      <c r="G3" t="s">
        <v>155</v>
      </c>
      <c r="H3" t="s">
        <v>156</v>
      </c>
      <c r="I3" t="s">
        <v>157</v>
      </c>
      <c r="J3" t="s">
        <v>158</v>
      </c>
      <c r="K3">
        <v>60</v>
      </c>
    </row>
    <row r="4">
      <c r="A4" t="s">
        <v>159</v>
      </c>
      <c r="B4" t="s">
        <v>160</v>
      </c>
      <c r="C4" t="s">
        <v>161</v>
      </c>
      <c r="D4" t="s">
        <v>162</v>
      </c>
      <c r="E4" t="s">
        <v>163</v>
      </c>
      <c r="F4" t="s">
        <v>164</v>
      </c>
      <c r="G4" t="s">
        <v>165</v>
      </c>
      <c r="H4" t="s">
        <v>166</v>
      </c>
      <c r="I4" t="s">
        <v>167</v>
      </c>
      <c r="J4" t="s">
        <v>168</v>
      </c>
      <c r="K4">
        <v>55</v>
      </c>
    </row>
    <row r="5">
      <c r="A5" t="s">
        <v>169</v>
      </c>
      <c r="B5" t="s">
        <v>170</v>
      </c>
      <c r="C5" t="s">
        <v>171</v>
      </c>
      <c r="D5">
        <v>500</v>
      </c>
      <c r="E5" t="s">
        <v>172</v>
      </c>
      <c r="F5" t="s">
        <v>173</v>
      </c>
      <c r="G5" t="s">
        <v>174</v>
      </c>
      <c r="H5" t="s">
        <v>166</v>
      </c>
      <c r="I5" t="s">
        <v>175</v>
      </c>
      <c r="J5" t="s">
        <v>176</v>
      </c>
      <c r="K5" t="s">
        <v>166</v>
      </c>
    </row>
    <row r="6">
      <c r="A6" t="s">
        <v>177</v>
      </c>
      <c r="B6" t="s">
        <v>178</v>
      </c>
      <c r="C6" t="s">
        <v>179</v>
      </c>
      <c r="D6">
        <v>100</v>
      </c>
      <c r="E6" t="s">
        <v>180</v>
      </c>
      <c r="F6" t="s">
        <v>181</v>
      </c>
      <c r="G6" t="s">
        <v>182</v>
      </c>
      <c r="H6" t="s">
        <v>183</v>
      </c>
      <c r="I6" t="s">
        <v>184</v>
      </c>
      <c r="J6" t="s">
        <v>185</v>
      </c>
      <c r="K6">
        <v>70</v>
      </c>
    </row>
    <row r="7">
      <c r="A7" t="s">
        <v>186</v>
      </c>
      <c r="B7" t="s">
        <v>187</v>
      </c>
      <c r="C7" t="s">
        <v>161</v>
      </c>
      <c r="D7" t="s">
        <v>152</v>
      </c>
      <c r="E7" t="s">
        <v>188</v>
      </c>
      <c r="F7" t="s">
        <v>189</v>
      </c>
      <c r="G7" t="s">
        <v>190</v>
      </c>
      <c r="H7" t="s">
        <v>191</v>
      </c>
      <c r="I7" t="s">
        <v>192</v>
      </c>
      <c r="J7" t="s">
        <v>193</v>
      </c>
      <c r="K7">
        <v>50</v>
      </c>
    </row>
    <row r="8">
      <c r="A8" t="s">
        <v>194</v>
      </c>
      <c r="B8" t="s">
        <v>195</v>
      </c>
      <c r="C8" t="s">
        <v>196</v>
      </c>
      <c r="D8">
        <v>100</v>
      </c>
      <c r="E8" t="s">
        <v>197</v>
      </c>
      <c r="F8" t="s">
        <v>198</v>
      </c>
      <c r="G8" t="s">
        <v>174</v>
      </c>
      <c r="H8" t="s">
        <v>199</v>
      </c>
      <c r="I8" t="s">
        <v>200</v>
      </c>
      <c r="J8" t="s">
        <v>201</v>
      </c>
      <c r="K8">
        <v>79</v>
      </c>
    </row>
    <row r="9">
      <c r="A9" t="s">
        <v>202</v>
      </c>
      <c r="B9" t="s">
        <v>203</v>
      </c>
      <c r="C9" t="s">
        <v>204</v>
      </c>
      <c r="D9" t="s">
        <v>205</v>
      </c>
      <c r="E9" t="s">
        <v>206</v>
      </c>
      <c r="F9" t="s">
        <v>207</v>
      </c>
      <c r="G9" t="s">
        <v>208</v>
      </c>
      <c r="H9" t="s">
        <v>209</v>
      </c>
      <c r="I9" t="s">
        <v>210</v>
      </c>
      <c r="J9" t="s">
        <v>211</v>
      </c>
      <c r="K9">
        <v>50</v>
      </c>
    </row>
    <row r="10">
      <c r="A10" t="s">
        <v>212</v>
      </c>
      <c r="B10" t="s">
        <v>213</v>
      </c>
      <c r="C10" t="s">
        <v>214</v>
      </c>
      <c r="D10">
        <v>500</v>
      </c>
      <c r="E10" t="s">
        <v>215</v>
      </c>
      <c r="F10" t="s">
        <v>216</v>
      </c>
      <c r="G10" t="s">
        <v>166</v>
      </c>
      <c r="H10" t="s">
        <v>217</v>
      </c>
      <c r="I10" t="s">
        <v>218</v>
      </c>
      <c r="J10" t="s">
        <v>219</v>
      </c>
      <c r="K10">
        <v>72</v>
      </c>
    </row>
    <row r="11">
      <c r="A11" t="s">
        <v>220</v>
      </c>
      <c r="B11" t="s">
        <v>221</v>
      </c>
      <c r="C11" t="s">
        <v>222</v>
      </c>
      <c r="D11">
        <v>100</v>
      </c>
      <c r="E11" t="s">
        <v>223</v>
      </c>
      <c r="F11" t="s">
        <v>224</v>
      </c>
      <c r="G11" t="s">
        <v>166</v>
      </c>
      <c r="H11" t="s">
        <v>225</v>
      </c>
      <c r="I11" t="s">
        <v>226</v>
      </c>
      <c r="J11" t="s">
        <v>227</v>
      </c>
      <c r="K11" t="s">
        <v>228</v>
      </c>
      <c r="L11">
        <v>65</v>
      </c>
    </row>
    <row r="12">
      <c r="A12" t="s">
        <v>229</v>
      </c>
      <c r="B12" t="s">
        <v>230</v>
      </c>
      <c r="C12" t="s">
        <v>231</v>
      </c>
      <c r="D12" t="s">
        <v>232</v>
      </c>
      <c r="E12" t="s">
        <v>233</v>
      </c>
      <c r="F12" t="s">
        <v>234</v>
      </c>
      <c r="G12" t="s">
        <v>235</v>
      </c>
      <c r="H12" t="s">
        <v>166</v>
      </c>
      <c r="I12" t="s">
        <v>226</v>
      </c>
      <c r="J12" t="s">
        <v>236</v>
      </c>
      <c r="K12" t="s">
        <v>166</v>
      </c>
    </row>
    <row r="13">
      <c r="A13" t="s">
        <v>237</v>
      </c>
      <c r="B13" t="s">
        <v>238</v>
      </c>
      <c r="C13" t="s">
        <v>239</v>
      </c>
      <c r="D13">
        <v>1000</v>
      </c>
      <c r="E13" t="s">
        <v>240</v>
      </c>
      <c r="F13" t="s">
        <v>241</v>
      </c>
      <c r="G13" t="s">
        <v>242</v>
      </c>
      <c r="H13" t="s">
        <v>243</v>
      </c>
      <c r="I13" t="s">
        <v>244</v>
      </c>
      <c r="J13" t="s">
        <v>245</v>
      </c>
      <c r="K13" t="s">
        <v>246</v>
      </c>
      <c r="L13">
        <v>75</v>
      </c>
    </row>
    <row r="14">
      <c r="A14" t="s">
        <v>247</v>
      </c>
      <c r="B14" t="s">
        <v>248</v>
      </c>
      <c r="C14" t="s">
        <v>249</v>
      </c>
      <c r="D14">
        <v>1000</v>
      </c>
      <c r="E14" t="s">
        <v>233</v>
      </c>
      <c r="F14" t="s">
        <v>250</v>
      </c>
      <c r="G14" t="s">
        <v>251</v>
      </c>
      <c r="H14" t="s">
        <v>252</v>
      </c>
      <c r="I14" t="s">
        <v>253</v>
      </c>
      <c r="J14" t="s">
        <v>254</v>
      </c>
      <c r="K14">
        <v>66</v>
      </c>
    </row>
    <row r="15"/>
    <row r="16">
      <c r="A16" t="s">
        <v>255</v>
      </c>
    </row>
    <row r="17">
      <c r="A17" t="s">
        <v>256</v>
      </c>
    </row>
    <row r="18"/>
    <row r="19">
      <c r="A19" t="s">
        <v>257</v>
      </c>
      <c r="B19" t="s">
        <v>258</v>
      </c>
      <c r="C19" t="s">
        <v>259</v>
      </c>
    </row>
    <row r="20">
      <c r="A20" t="s">
        <v>260</v>
      </c>
      <c r="B20">
        <v>20</v>
      </c>
      <c r="C20" t="s">
        <v>261</v>
      </c>
    </row>
    <row r="21">
      <c r="A21" t="s">
        <v>262</v>
      </c>
      <c r="B21">
        <v>15</v>
      </c>
      <c r="C21" t="s">
        <v>263</v>
      </c>
    </row>
    <row r="22">
      <c r="A22" t="s">
        <v>264</v>
      </c>
      <c r="B22">
        <v>15</v>
      </c>
      <c r="C22" t="s">
        <v>265</v>
      </c>
    </row>
    <row r="23">
      <c r="A23" t="s">
        <v>266</v>
      </c>
      <c r="B23">
        <v>10</v>
      </c>
      <c r="C23" t="s">
        <v>267</v>
      </c>
    </row>
    <row r="24">
      <c r="A24" t="s">
        <v>268</v>
      </c>
      <c r="B24">
        <v>10</v>
      </c>
      <c r="C24" t="s">
        <v>269</v>
      </c>
    </row>
    <row r="25">
      <c r="A25" t="s">
        <v>270</v>
      </c>
      <c r="B25">
        <v>10</v>
      </c>
      <c r="C25" t="s">
        <v>271</v>
      </c>
    </row>
    <row r="26">
      <c r="A26" t="s">
        <v>272</v>
      </c>
      <c r="B26">
        <v>-5</v>
      </c>
      <c r="C26" t="s">
        <v>273</v>
      </c>
    </row>
    <row r="27"/>
    <row r="28">
      <c r="A28" s="8" t="s">
        <v>274</v>
      </c>
      <c r="B28" s="8"/>
      <c r="C28" s="8"/>
      <c r="D28" s="8"/>
      <c r="E28" s="8"/>
      <c r="F28" s="8"/>
      <c r="G28" s="8"/>
      <c r="H28" s="8"/>
      <c r="I28" s="8"/>
      <c r="J28" s="8"/>
      <c r="K28" s="8"/>
    </row>
    <row r="29">
      <c r="A29" s="9" t="s">
        <v>275</v>
      </c>
      <c r="B29" s="9" t="s">
        <v>276</v>
      </c>
      <c r="C29" s="9" t="s">
        <v>140</v>
      </c>
      <c r="D29" s="9" t="s">
        <v>141</v>
      </c>
      <c r="E29" s="9" t="s">
        <v>142</v>
      </c>
      <c r="F29" s="9" t="s">
        <v>277</v>
      </c>
      <c r="G29" s="9" t="s">
        <v>144</v>
      </c>
      <c r="H29" s="9" t="s">
        <v>278</v>
      </c>
      <c r="I29" s="9" t="s">
        <v>279</v>
      </c>
      <c r="J29" s="9" t="s">
        <v>147</v>
      </c>
      <c r="K29" s="9" t="s">
        <v>148</v>
      </c>
    </row>
    <row r="30">
      <c r="A30" s="10" t="s">
        <v>280</v>
      </c>
      <c r="B30" s="11" t="s">
        <v>281</v>
      </c>
      <c r="C30" s="11" t="s">
        <v>282</v>
      </c>
      <c r="D30" s="11" t="s">
        <v>283</v>
      </c>
      <c r="E30" s="11" t="s">
        <v>284</v>
      </c>
      <c r="F30" s="11" t="s">
        <v>285</v>
      </c>
      <c r="G30" s="11" t="s">
        <v>286</v>
      </c>
      <c r="H30" s="11" t="s">
        <v>287</v>
      </c>
      <c r="I30" s="11" t="s">
        <v>288</v>
      </c>
      <c r="J30" s="11" t="s">
        <v>289</v>
      </c>
      <c r="K30" s="11">
        <v>64</v>
      </c>
    </row>
    <row r="31">
      <c r="A31" s="10" t="s">
        <v>290</v>
      </c>
      <c r="B31" s="11" t="s">
        <v>291</v>
      </c>
      <c r="C31" s="11" t="s">
        <v>292</v>
      </c>
      <c r="D31" s="11" t="s">
        <v>293</v>
      </c>
      <c r="E31" s="11" t="s">
        <v>294</v>
      </c>
      <c r="F31" s="11" t="s">
        <v>295</v>
      </c>
      <c r="G31" s="11" t="s">
        <v>296</v>
      </c>
      <c r="H31" s="11" t="s">
        <v>297</v>
      </c>
      <c r="I31" s="11" t="s">
        <v>298</v>
      </c>
      <c r="J31" s="11" t="s">
        <v>299</v>
      </c>
      <c r="K31" s="11">
        <v>62</v>
      </c>
    </row>
    <row r="32">
      <c r="A32" s="10" t="s">
        <v>300</v>
      </c>
      <c r="B32" s="11" t="s">
        <v>301</v>
      </c>
      <c r="C32" s="11" t="s">
        <v>302</v>
      </c>
      <c r="D32" s="11" t="s">
        <v>303</v>
      </c>
      <c r="E32" s="11" t="s">
        <v>304</v>
      </c>
      <c r="F32" s="11" t="s">
        <v>305</v>
      </c>
      <c r="G32" s="11" t="s">
        <v>306</v>
      </c>
      <c r="H32" s="11" t="s">
        <v>307</v>
      </c>
      <c r="I32" s="11" t="s">
        <v>308</v>
      </c>
      <c r="J32" s="11" t="s">
        <v>309</v>
      </c>
      <c r="K32" s="11">
        <v>61</v>
      </c>
    </row>
    <row r="33">
      <c r="A33" s="10" t="s">
        <v>310</v>
      </c>
      <c r="B33" s="11" t="s">
        <v>311</v>
      </c>
      <c r="C33" s="11" t="s">
        <v>312</v>
      </c>
      <c r="D33" s="11" t="s">
        <v>313</v>
      </c>
      <c r="E33" s="11" t="s">
        <v>314</v>
      </c>
      <c r="F33" s="11" t="s">
        <v>315</v>
      </c>
      <c r="G33" s="11" t="s">
        <v>316</v>
      </c>
      <c r="H33" s="11" t="s">
        <v>317</v>
      </c>
      <c r="I33" s="11" t="s">
        <v>318</v>
      </c>
      <c r="J33" s="11" t="s">
        <v>319</v>
      </c>
      <c r="K33" s="11">
        <v>58</v>
      </c>
    </row>
    <row r="34">
      <c r="A34" s="10" t="s">
        <v>320</v>
      </c>
      <c r="B34" s="11" t="s">
        <v>321</v>
      </c>
      <c r="C34" s="11" t="s">
        <v>322</v>
      </c>
      <c r="D34" s="11" t="s">
        <v>323</v>
      </c>
      <c r="E34" s="11" t="s">
        <v>324</v>
      </c>
      <c r="F34" s="11" t="s">
        <v>325</v>
      </c>
      <c r="G34" s="11" t="s">
        <v>316</v>
      </c>
      <c r="H34" s="11" t="s">
        <v>326</v>
      </c>
      <c r="I34" s="11" t="s">
        <v>327</v>
      </c>
      <c r="J34" s="11" t="s">
        <v>328</v>
      </c>
      <c r="K34" s="11">
        <v>56</v>
      </c>
    </row>
    <row r="35">
      <c r="A35" s="10" t="s">
        <v>329</v>
      </c>
      <c r="B35" s="11" t="s">
        <v>330</v>
      </c>
      <c r="C35" s="11" t="s">
        <v>331</v>
      </c>
      <c r="D35" s="11" t="s">
        <v>332</v>
      </c>
      <c r="E35" s="11" t="s">
        <v>333</v>
      </c>
      <c r="F35" s="11" t="s">
        <v>334</v>
      </c>
      <c r="G35" s="11" t="s">
        <v>335</v>
      </c>
      <c r="H35" s="11" t="s">
        <v>336</v>
      </c>
      <c r="I35" s="11" t="s">
        <v>337</v>
      </c>
      <c r="J35" s="11" t="s">
        <v>338</v>
      </c>
      <c r="K35" s="11">
        <v>56</v>
      </c>
    </row>
    <row r="36">
      <c r="A36" s="10" t="s">
        <v>339</v>
      </c>
      <c r="B36" s="11" t="s">
        <v>340</v>
      </c>
      <c r="C36" s="11" t="s">
        <v>341</v>
      </c>
      <c r="D36" s="11" t="s">
        <v>342</v>
      </c>
      <c r="E36" s="11" t="s">
        <v>343</v>
      </c>
      <c r="F36" s="11" t="s">
        <v>344</v>
      </c>
      <c r="G36" s="11" t="s">
        <v>345</v>
      </c>
      <c r="H36" s="11" t="s">
        <v>346</v>
      </c>
      <c r="I36" s="11" t="s">
        <v>347</v>
      </c>
      <c r="J36" s="11" t="s">
        <v>348</v>
      </c>
      <c r="K36" s="11">
        <v>55</v>
      </c>
    </row>
    <row r="37">
      <c r="A37" s="10" t="s">
        <v>349</v>
      </c>
      <c r="B37" s="11" t="s">
        <v>350</v>
      </c>
      <c r="C37" s="11" t="s">
        <v>351</v>
      </c>
      <c r="D37" s="11" t="s">
        <v>352</v>
      </c>
      <c r="E37" s="11" t="s">
        <v>353</v>
      </c>
      <c r="F37" s="11" t="s">
        <v>354</v>
      </c>
      <c r="G37" s="11" t="s">
        <v>355</v>
      </c>
      <c r="H37" s="11" t="s">
        <v>356</v>
      </c>
      <c r="I37" s="11" t="s">
        <v>357</v>
      </c>
      <c r="J37" s="11" t="s">
        <v>358</v>
      </c>
      <c r="K37" s="11">
        <v>52</v>
      </c>
    </row>
    <row r="38">
      <c r="A38" s="10" t="s">
        <v>359</v>
      </c>
      <c r="B38" s="11" t="s">
        <v>360</v>
      </c>
      <c r="C38" s="11" t="s">
        <v>361</v>
      </c>
      <c r="D38" s="11" t="s">
        <v>362</v>
      </c>
      <c r="E38" s="11" t="s">
        <v>363</v>
      </c>
      <c r="F38" s="11" t="s">
        <v>364</v>
      </c>
      <c r="G38" s="11" t="s">
        <v>365</v>
      </c>
      <c r="H38" s="11" t="s">
        <v>366</v>
      </c>
      <c r="I38" s="11" t="s">
        <v>367</v>
      </c>
      <c r="J38" s="11" t="s">
        <v>368</v>
      </c>
      <c r="K38" s="11">
        <v>51</v>
      </c>
    </row>
    <row r="39">
      <c r="A39" s="10" t="s">
        <v>369</v>
      </c>
      <c r="B39" s="11" t="s">
        <v>370</v>
      </c>
      <c r="C39" s="11" t="s">
        <v>371</v>
      </c>
      <c r="D39" s="11" t="s">
        <v>372</v>
      </c>
      <c r="E39" s="11" t="s">
        <v>373</v>
      </c>
      <c r="F39" s="11" t="s">
        <v>374</v>
      </c>
      <c r="G39" s="11" t="s">
        <v>355</v>
      </c>
      <c r="H39" s="11" t="s">
        <v>375</v>
      </c>
      <c r="I39" s="11" t="s">
        <v>376</v>
      </c>
      <c r="J39" s="11" t="s">
        <v>377</v>
      </c>
      <c r="K39" s="11">
        <v>48</v>
      </c>
    </row>
    <row r="40">
      <c r="A40" s="10" t="s">
        <v>378</v>
      </c>
      <c r="B40" s="11" t="s">
        <v>379</v>
      </c>
      <c r="C40" s="11" t="s">
        <v>380</v>
      </c>
      <c r="D40" s="11" t="s">
        <v>381</v>
      </c>
      <c r="E40" s="11" t="s">
        <v>382</v>
      </c>
      <c r="F40" s="11" t="s">
        <v>383</v>
      </c>
      <c r="G40" s="11" t="s">
        <v>355</v>
      </c>
      <c r="H40" s="11" t="s">
        <v>384</v>
      </c>
      <c r="I40" s="11" t="s">
        <v>385</v>
      </c>
      <c r="J40" s="11" t="s">
        <v>386</v>
      </c>
      <c r="K40" s="11">
        <v>47</v>
      </c>
    </row>
    <row r="41">
      <c r="A41" s="10" t="s">
        <v>387</v>
      </c>
      <c r="B41" s="11" t="s">
        <v>388</v>
      </c>
      <c r="C41" s="11" t="s">
        <v>389</v>
      </c>
      <c r="D41" s="11" t="s">
        <v>390</v>
      </c>
      <c r="E41" s="11" t="s">
        <v>391</v>
      </c>
      <c r="F41" s="11" t="s">
        <v>392</v>
      </c>
      <c r="G41" s="11" t="s">
        <v>355</v>
      </c>
      <c r="H41" s="11" t="s">
        <v>393</v>
      </c>
      <c r="I41" s="11" t="s">
        <v>394</v>
      </c>
      <c r="J41" s="11" t="s">
        <v>395</v>
      </c>
      <c r="K41" s="11">
        <v>47</v>
      </c>
    </row>
    <row r="42">
      <c r="A42" s="10" t="s">
        <v>396</v>
      </c>
      <c r="B42" s="11" t="s">
        <v>397</v>
      </c>
      <c r="C42" s="11" t="s">
        <v>398</v>
      </c>
      <c r="D42" s="11" t="s">
        <v>399</v>
      </c>
      <c r="E42" s="11" t="s">
        <v>400</v>
      </c>
      <c r="F42" s="11" t="s">
        <v>401</v>
      </c>
      <c r="G42" s="11" t="s">
        <v>355</v>
      </c>
      <c r="H42" s="11" t="s">
        <v>402</v>
      </c>
      <c r="I42" s="11" t="s">
        <v>403</v>
      </c>
      <c r="J42" s="11" t="s">
        <v>404</v>
      </c>
      <c r="K42" s="11">
        <v>45</v>
      </c>
    </row>
    <row r="43">
      <c r="A43" s="10" t="s">
        <v>405</v>
      </c>
      <c r="B43" s="11" t="s">
        <v>406</v>
      </c>
      <c r="C43" s="11" t="s">
        <v>407</v>
      </c>
      <c r="D43" s="11" t="s">
        <v>408</v>
      </c>
      <c r="E43" s="11" t="s">
        <v>409</v>
      </c>
      <c r="F43" s="11" t="s">
        <v>410</v>
      </c>
      <c r="G43" s="11" t="s">
        <v>355</v>
      </c>
      <c r="H43" s="11" t="s">
        <v>411</v>
      </c>
      <c r="I43" s="11" t="s">
        <v>412</v>
      </c>
      <c r="J43" s="11" t="s">
        <v>413</v>
      </c>
      <c r="K43" s="11">
        <v>44</v>
      </c>
    </row>
    <row r="44">
      <c r="A44" s="10" t="s">
        <v>414</v>
      </c>
      <c r="B44" s="11" t="s">
        <v>415</v>
      </c>
      <c r="C44" s="11" t="s">
        <v>416</v>
      </c>
      <c r="D44" s="11" t="s">
        <v>417</v>
      </c>
      <c r="E44" s="11" t="s">
        <v>418</v>
      </c>
      <c r="F44" s="11" t="s">
        <v>419</v>
      </c>
      <c r="G44" s="11" t="s">
        <v>355</v>
      </c>
      <c r="H44" s="11" t="s">
        <v>420</v>
      </c>
      <c r="I44" s="11" t="s">
        <v>421</v>
      </c>
      <c r="J44" s="11" t="s">
        <v>422</v>
      </c>
      <c r="K44" s="11">
        <v>43</v>
      </c>
    </row>
    <row r="45">
      <c r="A45" s="10" t="s">
        <v>423</v>
      </c>
      <c r="B45" s="11" t="s">
        <v>424</v>
      </c>
      <c r="C45" s="11" t="s">
        <v>231</v>
      </c>
      <c r="D45" s="11" t="s">
        <v>425</v>
      </c>
      <c r="E45" s="11" t="s">
        <v>426</v>
      </c>
      <c r="F45" s="11" t="s">
        <v>427</v>
      </c>
      <c r="G45" s="11" t="s">
        <v>355</v>
      </c>
      <c r="H45" s="11" t="s">
        <v>428</v>
      </c>
      <c r="I45" s="11" t="s">
        <v>429</v>
      </c>
      <c r="J45" s="11" t="s">
        <v>430</v>
      </c>
      <c r="K45" s="11">
        <v>42</v>
      </c>
    </row>
    <row r="46">
      <c r="A46" s="10" t="s">
        <v>431</v>
      </c>
      <c r="B46" s="11" t="s">
        <v>432</v>
      </c>
      <c r="C46" s="11" t="s">
        <v>433</v>
      </c>
      <c r="D46" s="11" t="s">
        <v>434</v>
      </c>
      <c r="E46" s="11" t="s">
        <v>418</v>
      </c>
      <c r="F46" s="11" t="s">
        <v>435</v>
      </c>
      <c r="G46" s="11" t="s">
        <v>355</v>
      </c>
      <c r="H46" s="11" t="s">
        <v>436</v>
      </c>
      <c r="I46" s="11" t="s">
        <v>437</v>
      </c>
      <c r="J46" s="11" t="s">
        <v>438</v>
      </c>
      <c r="K46" s="11">
        <v>42</v>
      </c>
    </row>
    <row r="47">
      <c r="A47" s="10" t="s">
        <v>439</v>
      </c>
      <c r="B47" s="11" t="s">
        <v>440</v>
      </c>
      <c r="C47" s="11" t="s">
        <v>441</v>
      </c>
      <c r="D47" s="11" t="s">
        <v>442</v>
      </c>
      <c r="E47" s="11" t="s">
        <v>443</v>
      </c>
      <c r="F47" s="11" t="s">
        <v>444</v>
      </c>
      <c r="G47" s="11" t="s">
        <v>355</v>
      </c>
      <c r="H47" s="11" t="s">
        <v>445</v>
      </c>
      <c r="I47" s="11" t="s">
        <v>446</v>
      </c>
      <c r="J47" s="11" t="s">
        <v>447</v>
      </c>
      <c r="K47" s="11">
        <v>42</v>
      </c>
    </row>
    <row r="48">
      <c r="A48" s="10" t="s">
        <v>448</v>
      </c>
      <c r="B48" s="11" t="s">
        <v>449</v>
      </c>
      <c r="C48" s="11" t="s">
        <v>450</v>
      </c>
      <c r="D48" s="11" t="s">
        <v>355</v>
      </c>
      <c r="E48" s="11" t="s">
        <v>418</v>
      </c>
      <c r="F48" s="11" t="s">
        <v>451</v>
      </c>
      <c r="G48" s="11" t="s">
        <v>355</v>
      </c>
      <c r="H48" s="11" t="s">
        <v>452</v>
      </c>
      <c r="I48" s="11" t="s">
        <v>453</v>
      </c>
      <c r="J48" s="11" t="s">
        <v>454</v>
      </c>
      <c r="K48" s="11">
        <v>40</v>
      </c>
    </row>
    <row r="49">
      <c r="A49" s="10" t="s">
        <v>455</v>
      </c>
      <c r="B49" s="11" t="s">
        <v>456</v>
      </c>
      <c r="C49" s="11" t="s">
        <v>231</v>
      </c>
      <c r="D49" s="11" t="s">
        <v>457</v>
      </c>
      <c r="E49" s="11" t="s">
        <v>458</v>
      </c>
      <c r="F49" s="11" t="s">
        <v>459</v>
      </c>
      <c r="G49" s="11" t="s">
        <v>355</v>
      </c>
      <c r="H49" s="11" t="s">
        <v>460</v>
      </c>
      <c r="I49" s="11" t="s">
        <v>461</v>
      </c>
      <c r="J49" s="11" t="s">
        <v>462</v>
      </c>
      <c r="K49" s="11">
        <v>40</v>
      </c>
    </row>
    <row r="50">
      <c r="A50" s="10" t="s">
        <v>463</v>
      </c>
      <c r="B50" s="11" t="s">
        <v>464</v>
      </c>
      <c r="C50" s="11" t="s">
        <v>465</v>
      </c>
      <c r="D50" s="11" t="s">
        <v>466</v>
      </c>
      <c r="E50" s="11" t="s">
        <v>467</v>
      </c>
      <c r="F50" s="11" t="s">
        <v>468</v>
      </c>
      <c r="G50" s="11" t="s">
        <v>355</v>
      </c>
      <c r="H50" s="11" t="s">
        <v>469</v>
      </c>
      <c r="I50" s="11" t="s">
        <v>470</v>
      </c>
      <c r="J50" s="11" t="s">
        <v>471</v>
      </c>
      <c r="K50" s="11">
        <v>37</v>
      </c>
    </row>
    <row r="51">
      <c r="A51" s="10" t="s">
        <v>472</v>
      </c>
      <c r="B51" s="11" t="s">
        <v>473</v>
      </c>
      <c r="C51" s="11" t="s">
        <v>474</v>
      </c>
      <c r="D51" s="11" t="s">
        <v>408</v>
      </c>
      <c r="E51" s="11" t="s">
        <v>475</v>
      </c>
      <c r="F51" s="11" t="s">
        <v>476</v>
      </c>
      <c r="G51" s="11" t="s">
        <v>355</v>
      </c>
      <c r="H51" s="11" t="s">
        <v>477</v>
      </c>
      <c r="I51" s="11" t="s">
        <v>478</v>
      </c>
      <c r="J51" s="11" t="s">
        <v>479</v>
      </c>
      <c r="K51" s="11">
        <v>36</v>
      </c>
    </row>
    <row r="52">
      <c r="A52" s="10" t="s">
        <v>480</v>
      </c>
      <c r="B52" s="11" t="s">
        <v>481</v>
      </c>
      <c r="C52" s="11" t="s">
        <v>482</v>
      </c>
      <c r="D52" s="11" t="s">
        <v>483</v>
      </c>
      <c r="E52" s="11" t="s">
        <v>484</v>
      </c>
      <c r="F52" s="11" t="s">
        <v>485</v>
      </c>
      <c r="G52" s="11" t="s">
        <v>486</v>
      </c>
      <c r="H52" s="11" t="s">
        <v>487</v>
      </c>
      <c r="I52" s="11" t="s">
        <v>488</v>
      </c>
      <c r="J52" s="11" t="s">
        <v>489</v>
      </c>
      <c r="K52" s="11">
        <v>34</v>
      </c>
    </row>
    <row r="53">
      <c r="A53" s="10" t="s">
        <v>490</v>
      </c>
      <c r="B53" s="11" t="s">
        <v>491</v>
      </c>
      <c r="C53" s="11" t="s">
        <v>492</v>
      </c>
      <c r="D53" s="11" t="s">
        <v>493</v>
      </c>
      <c r="E53" s="11" t="s">
        <v>494</v>
      </c>
      <c r="F53" s="11" t="s">
        <v>495</v>
      </c>
      <c r="G53" s="11" t="s">
        <v>496</v>
      </c>
      <c r="H53" s="11" t="s">
        <v>497</v>
      </c>
      <c r="I53" s="11" t="s">
        <v>498</v>
      </c>
      <c r="J53" s="11" t="s">
        <v>499</v>
      </c>
      <c r="K53" s="11">
        <v>30</v>
      </c>
    </row>
    <row r="54">
      <c r="A54" s="12" t="s">
        <v>500</v>
      </c>
      <c r="B54" s="12"/>
      <c r="C54" s="12"/>
      <c r="D54" s="12"/>
      <c r="E54" s="12"/>
      <c r="F54" s="12"/>
      <c r="G54" s="12"/>
      <c r="H54" s="12"/>
      <c r="I54" s="12"/>
      <c r="J54" s="12"/>
      <c r="K54" s="12"/>
    </row>
    <row r="55">
      <c r="A55" s="8"/>
      <c r="B55" s="8"/>
      <c r="C55" s="8"/>
      <c r="D55" s="8"/>
      <c r="E55" s="8"/>
      <c r="F55" s="8"/>
      <c r="G55" s="8"/>
      <c r="H55" s="8"/>
      <c r="I55" s="8"/>
      <c r="J55" s="8"/>
      <c r="K55" s="8"/>
    </row>
    <row r="56">
      <c r="A56" s="9" t="s">
        <v>501</v>
      </c>
      <c r="B56" s="9"/>
      <c r="C56" s="9"/>
      <c r="D56" s="9"/>
      <c r="E56" s="9"/>
      <c r="F56" s="9"/>
      <c r="G56" s="9"/>
      <c r="H56" s="9"/>
      <c r="I56" s="9"/>
      <c r="J56" s="9"/>
      <c r="K56" s="9"/>
    </row>
    <row r="57">
      <c r="A57" s="10" t="s">
        <v>502</v>
      </c>
      <c r="B57" s="11" t="s">
        <v>503</v>
      </c>
      <c r="C57" s="11" t="s">
        <v>504</v>
      </c>
      <c r="D57" s="11" t="s">
        <v>505</v>
      </c>
      <c r="E57" s="11" t="s">
        <v>506</v>
      </c>
      <c r="F57" s="11" t="s">
        <v>507</v>
      </c>
      <c r="G57" s="11" t="s">
        <v>508</v>
      </c>
      <c r="H57" s="11" t="s">
        <v>509</v>
      </c>
      <c r="I57" s="11" t="s">
        <v>510</v>
      </c>
      <c r="J57" s="11" t="s">
        <v>511</v>
      </c>
      <c r="K57" s="11">
        <v>58</v>
      </c>
    </row>
    <row r="58">
      <c r="A58" s="10" t="s">
        <v>512</v>
      </c>
      <c r="B58" s="11" t="s">
        <v>513</v>
      </c>
      <c r="C58" s="11" t="s">
        <v>514</v>
      </c>
      <c r="D58" s="11" t="s">
        <v>515</v>
      </c>
      <c r="E58" s="11" t="s">
        <v>516</v>
      </c>
      <c r="F58" s="11" t="s">
        <v>517</v>
      </c>
      <c r="G58" s="11" t="s">
        <v>316</v>
      </c>
      <c r="H58" s="11" t="s">
        <v>518</v>
      </c>
      <c r="I58" s="11" t="s">
        <v>519</v>
      </c>
      <c r="J58" s="11" t="s">
        <v>520</v>
      </c>
      <c r="K58" s="11">
        <v>40</v>
      </c>
    </row>
    <row r="59">
      <c r="A59" s="10" t="s">
        <v>521</v>
      </c>
      <c r="B59" s="11" t="s">
        <v>522</v>
      </c>
      <c r="C59" s="11" t="s">
        <v>523</v>
      </c>
      <c r="D59" s="11" t="s">
        <v>524</v>
      </c>
      <c r="E59" s="11" t="s">
        <v>525</v>
      </c>
      <c r="F59" s="11" t="s">
        <v>526</v>
      </c>
      <c r="G59" s="11" t="s">
        <v>527</v>
      </c>
      <c r="H59" s="11" t="s">
        <v>528</v>
      </c>
      <c r="I59" s="11" t="s">
        <v>529</v>
      </c>
      <c r="J59" s="11" t="s">
        <v>530</v>
      </c>
      <c r="K59" s="11">
        <v>38</v>
      </c>
    </row>
    <row r="60">
      <c r="A60" s="10" t="s">
        <v>531</v>
      </c>
      <c r="B60" s="11" t="s">
        <v>532</v>
      </c>
      <c r="C60" s="11" t="s">
        <v>533</v>
      </c>
      <c r="D60" s="11" t="s">
        <v>534</v>
      </c>
      <c r="E60" s="11" t="s">
        <v>535</v>
      </c>
      <c r="F60" s="11" t="s">
        <v>536</v>
      </c>
      <c r="G60" s="11" t="s">
        <v>537</v>
      </c>
      <c r="H60" s="11" t="s">
        <v>538</v>
      </c>
      <c r="I60" s="11" t="s">
        <v>539</v>
      </c>
      <c r="J60" s="11" t="s">
        <v>540</v>
      </c>
      <c r="K60" s="11">
        <v>30</v>
      </c>
    </row>
    <row r="61">
      <c r="A61" s="10" t="s">
        <v>541</v>
      </c>
      <c r="B61" s="11" t="s">
        <v>542</v>
      </c>
      <c r="C61" s="11" t="s">
        <v>543</v>
      </c>
      <c r="D61" s="11" t="s">
        <v>544</v>
      </c>
      <c r="E61" s="11" t="s">
        <v>545</v>
      </c>
      <c r="F61" s="11" t="s">
        <v>546</v>
      </c>
      <c r="G61" s="11" t="s">
        <v>547</v>
      </c>
      <c r="H61" s="11" t="s">
        <v>548</v>
      </c>
      <c r="I61" s="11" t="s">
        <v>549</v>
      </c>
      <c r="J61" s="11" t="s">
        <v>550</v>
      </c>
      <c r="K61" s="11">
        <v>29</v>
      </c>
    </row>
    <row r="62">
      <c r="A62" s="10" t="s">
        <v>551</v>
      </c>
      <c r="B62" s="11" t="s">
        <v>552</v>
      </c>
      <c r="C62" s="11" t="s">
        <v>553</v>
      </c>
      <c r="D62" s="11" t="s">
        <v>554</v>
      </c>
      <c r="E62" s="11" t="s">
        <v>555</v>
      </c>
      <c r="F62" s="11" t="s">
        <v>556</v>
      </c>
      <c r="G62" s="11" t="s">
        <v>355</v>
      </c>
      <c r="H62" s="11" t="s">
        <v>557</v>
      </c>
      <c r="I62" s="11" t="s">
        <v>558</v>
      </c>
      <c r="J62" s="11" t="s">
        <v>559</v>
      </c>
      <c r="K62" s="11">
        <v>27</v>
      </c>
    </row>
    <row r="63">
      <c r="A63" s="10" t="s">
        <v>560</v>
      </c>
      <c r="B63" s="11" t="s">
        <v>561</v>
      </c>
      <c r="C63" s="11" t="s">
        <v>562</v>
      </c>
      <c r="D63" s="11" t="s">
        <v>563</v>
      </c>
      <c r="E63" s="11" t="s">
        <v>564</v>
      </c>
      <c r="F63" s="11" t="s">
        <v>565</v>
      </c>
      <c r="G63" s="11" t="s">
        <v>355</v>
      </c>
      <c r="H63" s="11" t="s">
        <v>566</v>
      </c>
      <c r="I63" s="11" t="s">
        <v>567</v>
      </c>
      <c r="J63" s="11" t="s">
        <v>568</v>
      </c>
      <c r="K63" s="11">
        <v>26</v>
      </c>
    </row>
    <row r="64">
      <c r="A64" s="10" t="s">
        <v>569</v>
      </c>
      <c r="B64" s="11" t="s">
        <v>570</v>
      </c>
      <c r="C64" s="11" t="s">
        <v>571</v>
      </c>
      <c r="D64" s="11" t="s">
        <v>572</v>
      </c>
      <c r="E64" s="11" t="s">
        <v>545</v>
      </c>
      <c r="F64" s="11" t="s">
        <v>573</v>
      </c>
      <c r="G64" s="11" t="s">
        <v>355</v>
      </c>
      <c r="H64" s="11" t="s">
        <v>574</v>
      </c>
      <c r="I64" s="11" t="s">
        <v>575</v>
      </c>
      <c r="J64" s="11" t="s">
        <v>576</v>
      </c>
      <c r="K64" s="11">
        <v>26</v>
      </c>
    </row>
    <row r="65">
      <c r="A65" s="12" t="s">
        <v>577</v>
      </c>
      <c r="B65" s="12"/>
      <c r="C65" s="12"/>
      <c r="D65" s="12"/>
      <c r="E65" s="12"/>
      <c r="F65" s="12"/>
      <c r="G65" s="12"/>
      <c r="H65" s="12"/>
      <c r="I65" s="12"/>
      <c r="J65" s="12"/>
      <c r="K65" s="12"/>
    </row>
  </sheetData>
  <picture r:id="rId1"/>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6" min="6" style="0" width="40"/>
    <col collapsed="false" customWidth="true" hidden="false" max="8" min="8" style="0" width="40"/>
    <col collapsed="false" customWidth="true" hidden="false" max="2" min="2" style="0" width="12"/>
    <col collapsed="false" customWidth="true" hidden="false" max="4" min="4" style="0" width="12"/>
    <col collapsed="false" customWidth="true" hidden="false" max="5" min="5" style="0" width="12"/>
    <col collapsed="false" customWidth="true" hidden="false" max="7" min="7" style="0" width="40"/>
    <col collapsed="false" customWidth="true" hidden="false" max="1" min="1" style="0" width="32"/>
    <col collapsed="false" customWidth="true" hidden="false" max="3" min="3" style="0" width="12"/>
  </cols>
  <sheetData>
    <row r="1">
      <c r="A1" s="13" t="s">
        <v>578</v>
      </c>
      <c r="B1" s="13"/>
      <c r="C1" s="13"/>
      <c r="D1" s="13"/>
      <c r="E1" s="13"/>
      <c r="F1" s="13"/>
      <c r="G1" s="13"/>
      <c r="H1" s="13"/>
    </row>
    <row r="2"/>
    <row r="3">
      <c r="A3" s="14" t="s">
        <v>579</v>
      </c>
      <c r="B3" s="14"/>
      <c r="C3" s="14"/>
      <c r="D3" s="14"/>
      <c r="E3" s="14"/>
      <c r="F3" s="14"/>
      <c r="G3" s="14"/>
      <c r="H3" s="14"/>
    </row>
    <row r="4">
      <c r="A4" s="15" t="s">
        <v>580</v>
      </c>
      <c r="B4" s="15" t="s">
        <v>581</v>
      </c>
      <c r="C4" s="15" t="s">
        <v>582</v>
      </c>
      <c r="D4" s="15" t="s">
        <v>583</v>
      </c>
      <c r="E4" s="15" t="s">
        <v>584</v>
      </c>
      <c r="F4" s="15" t="s">
        <v>585</v>
      </c>
      <c r="G4" s="15" t="s">
        <v>586</v>
      </c>
      <c r="H4" s="15" t="s">
        <v>587</v>
      </c>
    </row>
    <row r="5">
      <c r="A5" t="s">
        <v>588</v>
      </c>
      <c r="B5" t="s">
        <v>589</v>
      </c>
      <c r="C5" t="s">
        <v>590</v>
      </c>
      <c r="D5" t="s">
        <v>589</v>
      </c>
      <c r="E5" t="s">
        <v>591</v>
      </c>
      <c r="F5" t="s">
        <v>592</v>
      </c>
      <c r="G5" t="s">
        <v>593</v>
      </c>
      <c r="H5" t="s">
        <v>594</v>
      </c>
    </row>
    <row r="6">
      <c r="A6" t="s">
        <v>595</v>
      </c>
      <c r="B6" t="s">
        <v>596</v>
      </c>
      <c r="C6" t="s">
        <v>596</v>
      </c>
      <c r="D6" t="s">
        <v>596</v>
      </c>
      <c r="E6" t="s">
        <v>591</v>
      </c>
      <c r="F6" t="s">
        <v>597</v>
      </c>
      <c r="G6" t="s">
        <v>598</v>
      </c>
      <c r="H6" t="s">
        <v>599</v>
      </c>
    </row>
    <row r="7">
      <c r="A7" t="s">
        <v>600</v>
      </c>
      <c r="B7" t="s">
        <v>591</v>
      </c>
      <c r="C7" t="s">
        <v>590</v>
      </c>
      <c r="D7" t="s">
        <v>590</v>
      </c>
      <c r="E7" t="s">
        <v>591</v>
      </c>
      <c r="F7" t="s">
        <v>601</v>
      </c>
      <c r="G7" t="s">
        <v>602</v>
      </c>
      <c r="H7" t="s">
        <v>603</v>
      </c>
    </row>
    <row r="8">
      <c r="A8" t="s">
        <v>604</v>
      </c>
      <c r="B8" t="s">
        <v>591</v>
      </c>
      <c r="C8" t="s">
        <v>590</v>
      </c>
      <c r="D8" t="s">
        <v>589</v>
      </c>
      <c r="E8" t="s">
        <v>591</v>
      </c>
      <c r="F8" t="s">
        <v>605</v>
      </c>
      <c r="G8" t="s">
        <v>606</v>
      </c>
      <c r="H8" t="s">
        <v>607</v>
      </c>
    </row>
    <row r="9">
      <c r="A9" t="s">
        <v>608</v>
      </c>
      <c r="B9" t="s">
        <v>591</v>
      </c>
      <c r="C9" t="s">
        <v>589</v>
      </c>
      <c r="D9" t="s">
        <v>589</v>
      </c>
      <c r="E9" t="s">
        <v>591</v>
      </c>
      <c r="F9" t="s">
        <v>605</v>
      </c>
      <c r="G9" t="s">
        <v>609</v>
      </c>
      <c r="H9" t="s">
        <v>610</v>
      </c>
    </row>
    <row r="10">
      <c r="A10" t="s">
        <v>611</v>
      </c>
      <c r="B10" t="s">
        <v>591</v>
      </c>
      <c r="C10" t="s">
        <v>589</v>
      </c>
      <c r="D10" t="s">
        <v>590</v>
      </c>
      <c r="E10" t="s">
        <v>591</v>
      </c>
      <c r="F10" t="s">
        <v>605</v>
      </c>
      <c r="G10" t="s">
        <v>612</v>
      </c>
      <c r="H10" t="s">
        <v>610</v>
      </c>
    </row>
    <row r="11">
      <c r="A11" t="s">
        <v>613</v>
      </c>
      <c r="B11" t="s">
        <v>589</v>
      </c>
      <c r="C11" t="s">
        <v>589</v>
      </c>
      <c r="D11" t="s">
        <v>589</v>
      </c>
      <c r="E11" t="s">
        <v>591</v>
      </c>
      <c r="F11" t="s">
        <v>605</v>
      </c>
      <c r="G11" t="s">
        <v>614</v>
      </c>
      <c r="H11" t="s">
        <v>610</v>
      </c>
    </row>
    <row r="12">
      <c r="A12" t="s">
        <v>615</v>
      </c>
      <c r="B12" t="s">
        <v>591</v>
      </c>
      <c r="C12" t="s">
        <v>589</v>
      </c>
      <c r="D12" t="s">
        <v>591</v>
      </c>
      <c r="E12" t="s">
        <v>590</v>
      </c>
      <c r="F12" t="s">
        <v>616</v>
      </c>
      <c r="G12" t="s">
        <v>617</v>
      </c>
      <c r="H12" t="s">
        <v>618</v>
      </c>
    </row>
    <row r="13">
      <c r="A13" t="s">
        <v>619</v>
      </c>
      <c r="B13" t="s">
        <v>591</v>
      </c>
      <c r="C13" t="s">
        <v>591</v>
      </c>
      <c r="D13" t="s">
        <v>591</v>
      </c>
      <c r="E13" t="s">
        <v>591</v>
      </c>
      <c r="F13" t="s">
        <v>620</v>
      </c>
      <c r="G13" t="s">
        <v>621</v>
      </c>
      <c r="H13" t="s">
        <v>622</v>
      </c>
    </row>
    <row r="14">
      <c r="A14" t="s">
        <v>623</v>
      </c>
      <c r="B14" t="s">
        <v>591</v>
      </c>
      <c r="C14" t="s">
        <v>591</v>
      </c>
      <c r="D14" t="s">
        <v>591</v>
      </c>
      <c r="E14" t="s">
        <v>591</v>
      </c>
      <c r="F14" t="s">
        <v>624</v>
      </c>
      <c r="G14" t="s">
        <v>625</v>
      </c>
      <c r="H14" t="s">
        <v>618</v>
      </c>
    </row>
    <row r="15">
      <c r="A15" t="s">
        <v>626</v>
      </c>
      <c r="B15" t="s">
        <v>591</v>
      </c>
      <c r="C15" t="s">
        <v>591</v>
      </c>
      <c r="D15" t="s">
        <v>591</v>
      </c>
      <c r="E15" t="s">
        <v>591</v>
      </c>
      <c r="F15" t="s">
        <v>620</v>
      </c>
      <c r="G15" t="s">
        <v>627</v>
      </c>
      <c r="H15" t="s">
        <v>622</v>
      </c>
    </row>
    <row r="16">
      <c r="A16" t="s">
        <v>628</v>
      </c>
      <c r="B16" t="s">
        <v>591</v>
      </c>
      <c r="C16" t="s">
        <v>591</v>
      </c>
      <c r="D16" t="s">
        <v>591</v>
      </c>
      <c r="E16" t="s">
        <v>591</v>
      </c>
      <c r="F16" t="s">
        <v>620</v>
      </c>
      <c r="G16" t="s">
        <v>629</v>
      </c>
      <c r="H16" t="s">
        <v>622</v>
      </c>
    </row>
    <row r="17"/>
    <row r="18">
      <c r="A18" s="14" t="s">
        <v>630</v>
      </c>
      <c r="B18" s="14"/>
      <c r="C18" s="14"/>
      <c r="D18" s="14"/>
      <c r="E18" s="14"/>
      <c r="F18" s="14"/>
      <c r="G18" s="14"/>
      <c r="H18" s="14"/>
    </row>
    <row r="19">
      <c r="A19" s="15" t="s">
        <v>631</v>
      </c>
      <c r="B19" s="15" t="s">
        <v>585</v>
      </c>
      <c r="C19" s="15" t="s">
        <v>586</v>
      </c>
      <c r="D19" s="15" t="s">
        <v>632</v>
      </c>
      <c r="E19" s="15"/>
      <c r="F19" s="15"/>
      <c r="G19" s="15"/>
      <c r="H19" s="15"/>
    </row>
    <row r="20">
      <c r="A20" t="s">
        <v>633</v>
      </c>
      <c r="B20" t="s">
        <v>634</v>
      </c>
      <c r="C20" t="s">
        <v>635</v>
      </c>
      <c r="D20" t="s">
        <v>636</v>
      </c>
    </row>
    <row r="21">
      <c r="A21" t="s">
        <v>637</v>
      </c>
      <c r="B21" t="s">
        <v>638</v>
      </c>
      <c r="C21" t="s">
        <v>639</v>
      </c>
      <c r="D21" t="s">
        <v>640</v>
      </c>
    </row>
    <row r="22">
      <c r="A22" t="s">
        <v>641</v>
      </c>
      <c r="B22" t="s">
        <v>638</v>
      </c>
      <c r="C22" t="s">
        <v>642</v>
      </c>
      <c r="D22" t="s">
        <v>643</v>
      </c>
    </row>
    <row r="23">
      <c r="A23" t="s">
        <v>644</v>
      </c>
      <c r="B23" t="s">
        <v>645</v>
      </c>
      <c r="C23" t="s">
        <v>646</v>
      </c>
      <c r="D23" t="s">
        <v>647</v>
      </c>
    </row>
    <row r="24">
      <c r="A24" t="s">
        <v>648</v>
      </c>
      <c r="B24" t="s">
        <v>649</v>
      </c>
      <c r="C24" t="s">
        <v>650</v>
      </c>
      <c r="D24" t="s">
        <v>651</v>
      </c>
    </row>
    <row r="25"/>
    <row r="26">
      <c r="A26" s="14" t="s">
        <v>652</v>
      </c>
      <c r="B26" s="14"/>
      <c r="C26" s="14"/>
      <c r="D26" s="14"/>
      <c r="E26" s="14"/>
      <c r="F26" s="14"/>
      <c r="G26" s="14"/>
      <c r="H26" s="14"/>
    </row>
    <row r="27">
      <c r="A27" s="15" t="s">
        <v>631</v>
      </c>
      <c r="B27" s="15" t="s">
        <v>653</v>
      </c>
      <c r="C27" s="15" t="s">
        <v>654</v>
      </c>
      <c r="D27" s="15" t="s">
        <v>655</v>
      </c>
      <c r="E27" s="15"/>
      <c r="F27" s="15"/>
      <c r="G27" s="15"/>
      <c r="H27" s="15"/>
    </row>
    <row r="28">
      <c r="A28" t="s">
        <v>656</v>
      </c>
      <c r="B28" t="s">
        <v>657</v>
      </c>
      <c r="C28" t="s">
        <v>658</v>
      </c>
      <c r="D28" t="s">
        <v>659</v>
      </c>
    </row>
    <row r="29">
      <c r="A29" t="s">
        <v>660</v>
      </c>
      <c r="B29" t="s">
        <v>661</v>
      </c>
      <c r="C29" t="s">
        <v>662</v>
      </c>
      <c r="D29" t="s">
        <v>663</v>
      </c>
    </row>
    <row r="30">
      <c r="A30" t="s">
        <v>664</v>
      </c>
      <c r="B30" t="s">
        <v>665</v>
      </c>
      <c r="C30" t="s">
        <v>666</v>
      </c>
      <c r="D30" t="s">
        <v>667</v>
      </c>
    </row>
    <row r="31">
      <c r="A31" t="s">
        <v>668</v>
      </c>
      <c r="B31" t="s">
        <v>669</v>
      </c>
      <c r="C31" t="s">
        <v>666</v>
      </c>
      <c r="D31" t="s">
        <v>670</v>
      </c>
    </row>
    <row r="32">
      <c r="A32" t="s">
        <v>671</v>
      </c>
      <c r="B32" t="s">
        <v>672</v>
      </c>
      <c r="C32" t="s">
        <v>673</v>
      </c>
      <c r="D32" t="s">
        <v>674</v>
      </c>
    </row>
    <row r="33">
      <c r="A33" t="s">
        <v>675</v>
      </c>
      <c r="B33" t="s">
        <v>676</v>
      </c>
      <c r="C33" t="s">
        <v>666</v>
      </c>
      <c r="D33" t="s">
        <v>677</v>
      </c>
    </row>
    <row r="34"/>
    <row r="35">
      <c r="A35" s="14" t="s">
        <v>678</v>
      </c>
      <c r="B35" s="14"/>
      <c r="C35" s="14"/>
      <c r="D35" s="14"/>
      <c r="E35" s="14"/>
      <c r="F35" s="14"/>
      <c r="G35" s="14"/>
      <c r="H35" s="14"/>
    </row>
    <row r="36">
      <c r="A36" t="s">
        <v>679</v>
      </c>
    </row>
    <row r="37">
      <c r="A37" t="s">
        <v>680</v>
      </c>
    </row>
    <row r="38">
      <c r="A38" t="s">
        <v>681</v>
      </c>
    </row>
    <row r="39">
      <c r="A39" t="s">
        <v>682</v>
      </c>
    </row>
  </sheetData>
  <picture r:id="rId1"/>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4" min="4" style="0" width="14"/>
    <col collapsed="false" customWidth="true" hidden="false" max="5" min="5" style="0" width="32"/>
    <col collapsed="false" customWidth="true" hidden="false" max="1" min="1" style="0" width="17"/>
    <col collapsed="false" customWidth="true" hidden="false" max="2" min="2" style="0" width="42"/>
    <col collapsed="false" customWidth="true" hidden="false" max="3" min="3" style="0" width="29"/>
  </cols>
  <sheetData>
    <row r="1">
      <c r="A1" s="16" t="s">
        <v>683</v>
      </c>
      <c r="B1" s="16"/>
      <c r="C1" s="16"/>
      <c r="D1" s="16"/>
      <c r="E1" s="16"/>
    </row>
    <row r="2">
      <c r="A2" s="17" t="s">
        <v>684</v>
      </c>
      <c r="B2" s="17" t="s">
        <v>685</v>
      </c>
      <c r="C2" s="17" t="s">
        <v>686</v>
      </c>
      <c r="D2" s="17" t="s">
        <v>687</v>
      </c>
      <c r="E2" s="17" t="s">
        <v>688</v>
      </c>
    </row>
    <row r="3">
      <c r="A3" s="18" t="s">
        <v>689</v>
      </c>
      <c r="B3" s="19" t="s">
        <v>690</v>
      </c>
      <c r="C3" s="19" t="s">
        <v>691</v>
      </c>
      <c r="D3" s="19" t="s">
        <v>692</v>
      </c>
      <c r="E3" s="19" t="s">
        <v>693</v>
      </c>
    </row>
    <row r="4">
      <c r="A4" s="18" t="s">
        <v>689</v>
      </c>
      <c r="B4" s="19" t="s">
        <v>694</v>
      </c>
      <c r="C4" s="19" t="s">
        <v>695</v>
      </c>
      <c r="D4" s="19" t="s">
        <v>692</v>
      </c>
      <c r="E4" s="19" t="s">
        <v>696</v>
      </c>
    </row>
    <row r="5">
      <c r="A5" s="18" t="s">
        <v>689</v>
      </c>
      <c r="B5" s="19" t="s">
        <v>697</v>
      </c>
      <c r="C5" s="19" t="s">
        <v>698</v>
      </c>
      <c r="D5" s="19" t="s">
        <v>692</v>
      </c>
      <c r="E5" s="19"/>
    </row>
    <row r="6">
      <c r="A6" s="18" t="s">
        <v>699</v>
      </c>
      <c r="B6" s="19" t="s">
        <v>700</v>
      </c>
      <c r="C6" s="19" t="s">
        <v>701</v>
      </c>
      <c r="D6" s="19" t="s">
        <v>692</v>
      </c>
      <c r="E6" s="19" t="s">
        <v>702</v>
      </c>
    </row>
    <row r="7">
      <c r="A7" s="18" t="s">
        <v>699</v>
      </c>
      <c r="B7" s="19" t="s">
        <v>703</v>
      </c>
      <c r="C7" s="19" t="s">
        <v>704</v>
      </c>
      <c r="D7" s="19" t="s">
        <v>692</v>
      </c>
      <c r="E7" s="19" t="s">
        <v>705</v>
      </c>
    </row>
    <row r="8">
      <c r="A8" s="18" t="s">
        <v>706</v>
      </c>
      <c r="B8" s="19" t="s">
        <v>707</v>
      </c>
      <c r="C8" s="19" t="s">
        <v>708</v>
      </c>
      <c r="D8" s="19" t="s">
        <v>692</v>
      </c>
      <c r="E8" s="19" t="s">
        <v>709</v>
      </c>
    </row>
    <row r="9">
      <c r="A9" s="18" t="s">
        <v>706</v>
      </c>
      <c r="B9" s="19" t="s">
        <v>710</v>
      </c>
      <c r="C9" s="19" t="s">
        <v>711</v>
      </c>
      <c r="D9" s="19" t="s">
        <v>692</v>
      </c>
      <c r="E9" s="19" t="s">
        <v>712</v>
      </c>
    </row>
    <row r="10">
      <c r="A10" s="18" t="s">
        <v>706</v>
      </c>
      <c r="B10" s="19" t="s">
        <v>713</v>
      </c>
      <c r="C10" s="19" t="s">
        <v>714</v>
      </c>
      <c r="D10" s="19" t="s">
        <v>715</v>
      </c>
      <c r="E10" s="19" t="s">
        <v>716</v>
      </c>
    </row>
    <row r="11">
      <c r="A11" s="18" t="s">
        <v>699</v>
      </c>
      <c r="B11" s="19" t="s">
        <v>717</v>
      </c>
      <c r="C11" s="19" t="s">
        <v>718</v>
      </c>
      <c r="D11" s="19" t="s">
        <v>692</v>
      </c>
      <c r="E11" s="19" t="s">
        <v>719</v>
      </c>
    </row>
    <row r="12">
      <c r="A12" s="18" t="s">
        <v>720</v>
      </c>
      <c r="B12" s="19" t="s">
        <v>721</v>
      </c>
      <c r="C12" s="19" t="s">
        <v>722</v>
      </c>
      <c r="D12" s="19" t="s">
        <v>723</v>
      </c>
      <c r="E12" s="19" t="s">
        <v>724</v>
      </c>
    </row>
    <row r="13">
      <c r="A13" s="18" t="s">
        <v>720</v>
      </c>
      <c r="B13" s="19" t="s">
        <v>725</v>
      </c>
      <c r="C13" s="19" t="s">
        <v>726</v>
      </c>
      <c r="D13" s="19" t="s">
        <v>723</v>
      </c>
      <c r="E13" s="19" t="s">
        <v>727</v>
      </c>
    </row>
    <row r="14">
      <c r="A14" s="18" t="s">
        <v>720</v>
      </c>
      <c r="B14" s="19" t="s">
        <v>728</v>
      </c>
      <c r="C14" s="19" t="s">
        <v>729</v>
      </c>
      <c r="D14" s="19" t="s">
        <v>730</v>
      </c>
      <c r="E14" s="19" t="s">
        <v>731</v>
      </c>
    </row>
    <row r="15">
      <c r="A15" s="18" t="s">
        <v>720</v>
      </c>
      <c r="B15" s="19" t="s">
        <v>732</v>
      </c>
      <c r="C15" s="19" t="s">
        <v>733</v>
      </c>
      <c r="D15" s="19" t="s">
        <v>730</v>
      </c>
      <c r="E15" s="19" t="s">
        <v>734</v>
      </c>
    </row>
    <row r="16">
      <c r="A16" s="18" t="s">
        <v>735</v>
      </c>
      <c r="B16" s="19" t="s">
        <v>736</v>
      </c>
      <c r="C16" s="19" t="s">
        <v>737</v>
      </c>
      <c r="D16" s="19" t="s">
        <v>730</v>
      </c>
      <c r="E16" s="19" t="s">
        <v>738</v>
      </c>
    </row>
    <row r="17">
      <c r="A17" s="18" t="s">
        <v>735</v>
      </c>
      <c r="B17" s="19" t="s">
        <v>739</v>
      </c>
      <c r="C17" s="19" t="s">
        <v>740</v>
      </c>
      <c r="D17" s="19" t="s">
        <v>730</v>
      </c>
      <c r="E17" s="19"/>
    </row>
    <row r="18">
      <c r="A18" s="18" t="s">
        <v>741</v>
      </c>
      <c r="B18" s="19" t="s">
        <v>742</v>
      </c>
      <c r="C18" s="19" t="s">
        <v>743</v>
      </c>
      <c r="D18" s="19" t="s">
        <v>744</v>
      </c>
      <c r="E18" s="19" t="s">
        <v>745</v>
      </c>
    </row>
    <row r="19">
      <c r="A19" s="18" t="s">
        <v>741</v>
      </c>
      <c r="B19" s="19" t="s">
        <v>746</v>
      </c>
      <c r="C19" s="19" t="s">
        <v>747</v>
      </c>
      <c r="D19" s="19" t="s">
        <v>730</v>
      </c>
      <c r="E19" s="19"/>
    </row>
    <row r="20">
      <c r="A20" s="18" t="s">
        <v>741</v>
      </c>
      <c r="B20" s="19" t="s">
        <v>748</v>
      </c>
      <c r="C20" s="19" t="s">
        <v>749</v>
      </c>
      <c r="D20" s="19" t="s">
        <v>730</v>
      </c>
      <c r="E20" s="19" t="s">
        <v>750</v>
      </c>
    </row>
    <row r="21">
      <c r="A21" s="18" t="s">
        <v>751</v>
      </c>
      <c r="B21" s="19" t="s">
        <v>752</v>
      </c>
      <c r="C21" s="19" t="s">
        <v>753</v>
      </c>
      <c r="D21" s="19" t="s">
        <v>730</v>
      </c>
      <c r="E21" s="19" t="s">
        <v>754</v>
      </c>
    </row>
    <row r="22">
      <c r="A22" s="18" t="s">
        <v>751</v>
      </c>
      <c r="B22" s="19" t="s">
        <v>755</v>
      </c>
      <c r="C22" s="19" t="s">
        <v>756</v>
      </c>
      <c r="D22" s="19" t="s">
        <v>730</v>
      </c>
      <c r="E22" s="19" t="s">
        <v>757</v>
      </c>
    </row>
    <row r="23">
      <c r="A23" s="18" t="s">
        <v>758</v>
      </c>
      <c r="B23" s="19" t="s">
        <v>759</v>
      </c>
      <c r="C23" s="19" t="s">
        <v>760</v>
      </c>
      <c r="D23" s="19" t="s">
        <v>730</v>
      </c>
      <c r="E23" s="19" t="s">
        <v>761</v>
      </c>
    </row>
    <row r="24">
      <c r="A24" s="18" t="s">
        <v>758</v>
      </c>
      <c r="B24" s="19" t="s">
        <v>762</v>
      </c>
      <c r="C24" s="19" t="s">
        <v>763</v>
      </c>
      <c r="D24" s="19" t="s">
        <v>730</v>
      </c>
      <c r="E24" s="19" t="s">
        <v>764</v>
      </c>
    </row>
    <row r="25">
      <c r="A25" s="18" t="s">
        <v>765</v>
      </c>
      <c r="B25" s="19" t="s">
        <v>766</v>
      </c>
      <c r="C25" s="19" t="s">
        <v>767</v>
      </c>
      <c r="D25" s="19" t="s">
        <v>730</v>
      </c>
      <c r="E25" s="19"/>
    </row>
    <row r="26">
      <c r="A26" s="18" t="s">
        <v>765</v>
      </c>
      <c r="B26" s="19" t="s">
        <v>768</v>
      </c>
      <c r="C26" s="19" t="s">
        <v>769</v>
      </c>
      <c r="D26" s="19" t="s">
        <v>730</v>
      </c>
      <c r="E26" s="19" t="s">
        <v>770</v>
      </c>
    </row>
    <row r="27">
      <c r="A27" t="s">
        <v>771</v>
      </c>
      <c r="B27" t="s">
        <v>772</v>
      </c>
      <c r="C27" t="s">
        <v>773</v>
      </c>
      <c r="D27" t="s">
        <v>774</v>
      </c>
      <c r="E27" t="s">
        <v>775</v>
      </c>
    </row>
    <row r="28">
      <c r="A28" t="s">
        <v>771</v>
      </c>
      <c r="B28" t="s">
        <v>776</v>
      </c>
      <c r="C28" t="s">
        <v>777</v>
      </c>
      <c r="D28" t="s">
        <v>774</v>
      </c>
    </row>
    <row r="29">
      <c r="A29" t="s">
        <v>771</v>
      </c>
      <c r="B29" t="s">
        <v>778</v>
      </c>
      <c r="C29" t="s">
        <v>779</v>
      </c>
      <c r="D29" t="s">
        <v>730</v>
      </c>
      <c r="E29" t="s">
        <v>780</v>
      </c>
    </row>
    <row r="30">
      <c r="A30" t="s">
        <v>771</v>
      </c>
      <c r="B30" t="s">
        <v>781</v>
      </c>
      <c r="C30" t="s">
        <v>782</v>
      </c>
      <c r="D30" t="s">
        <v>730</v>
      </c>
      <c r="E30" t="s">
        <v>780</v>
      </c>
    </row>
    <row r="31">
      <c r="A31" t="s">
        <v>783</v>
      </c>
      <c r="B31" t="s">
        <v>784</v>
      </c>
      <c r="C31" t="s">
        <v>785</v>
      </c>
      <c r="D31" t="s">
        <v>692</v>
      </c>
      <c r="E31" t="s">
        <v>786</v>
      </c>
    </row>
    <row r="32">
      <c r="A32" t="s">
        <v>783</v>
      </c>
      <c r="B32" t="s">
        <v>787</v>
      </c>
      <c r="C32" t="s">
        <v>788</v>
      </c>
      <c r="D32" t="s">
        <v>692</v>
      </c>
      <c r="E32" t="s">
        <v>789</v>
      </c>
    </row>
    <row r="33">
      <c r="A33" t="s">
        <v>783</v>
      </c>
      <c r="B33" t="s">
        <v>790</v>
      </c>
      <c r="C33" t="s">
        <v>791</v>
      </c>
      <c r="D33" t="s">
        <v>774</v>
      </c>
      <c r="E33" t="s">
        <v>792</v>
      </c>
    </row>
    <row r="34">
      <c r="A34" t="s">
        <v>783</v>
      </c>
      <c r="B34" t="s">
        <v>793</v>
      </c>
      <c r="C34" t="s">
        <v>794</v>
      </c>
      <c r="D34" t="s">
        <v>774</v>
      </c>
      <c r="E34" t="s">
        <v>795</v>
      </c>
    </row>
  </sheetData>
  <picture r:id="rId1"/>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2" min="2" style="0" width="34"/>
    <col collapsed="false" customWidth="true" hidden="false" max="4" min="4" style="0" width="17"/>
    <col collapsed="false" customWidth="true" hidden="false" max="6" min="6" style="0" width="17"/>
    <col collapsed="false" customWidth="true" hidden="false" max="8" min="8" style="0" width="37"/>
    <col collapsed="false" customWidth="true" hidden="false" max="1" min="1" style="0" width="25"/>
    <col collapsed="false" customWidth="true" hidden="false" max="3" min="3" style="0" width="17"/>
    <col collapsed="false" customWidth="true" hidden="false" max="5" min="5" style="0" width="17"/>
    <col collapsed="false" customWidth="true" hidden="false" max="7" min="7" style="0" width="14"/>
  </cols>
  <sheetData>
    <row r="1">
      <c r="A1" s="20" t="s">
        <v>796</v>
      </c>
      <c r="B1" s="20"/>
      <c r="C1" s="20"/>
      <c r="D1" s="20"/>
      <c r="E1" s="20"/>
      <c r="F1" s="20"/>
      <c r="G1" s="20"/>
      <c r="H1" s="20"/>
    </row>
    <row r="2">
      <c r="A2" s="21" t="s">
        <v>797</v>
      </c>
      <c r="B2" s="21"/>
      <c r="C2" s="21"/>
      <c r="D2" s="21"/>
      <c r="E2" s="21"/>
      <c r="F2" s="21"/>
      <c r="G2" s="21"/>
      <c r="H2" s="21"/>
    </row>
    <row r="3">
      <c r="A3" s="22" t="s">
        <v>798</v>
      </c>
      <c r="B3" s="22" t="s">
        <v>799</v>
      </c>
      <c r="C3" s="22" t="s">
        <v>800</v>
      </c>
      <c r="D3" s="22"/>
      <c r="E3" s="22"/>
      <c r="F3" s="22"/>
      <c r="G3" s="22"/>
      <c r="H3" s="22"/>
    </row>
    <row r="4">
      <c r="A4" s="23" t="s">
        <v>801</v>
      </c>
      <c r="B4" s="23" t="s">
        <v>802</v>
      </c>
      <c r="C4" s="23" t="s">
        <v>803</v>
      </c>
      <c r="D4" s="23"/>
      <c r="E4" s="23"/>
      <c r="F4" s="23"/>
      <c r="G4" s="23"/>
      <c r="H4" s="23"/>
    </row>
    <row r="5">
      <c r="A5" s="23" t="s">
        <v>804</v>
      </c>
      <c r="B5" s="23" t="s">
        <v>805</v>
      </c>
      <c r="C5" s="23" t="s">
        <v>806</v>
      </c>
      <c r="D5" s="23"/>
      <c r="E5" s="23"/>
      <c r="F5" s="23"/>
      <c r="G5" s="23"/>
      <c r="H5" s="23"/>
    </row>
    <row r="6">
      <c r="A6" s="23" t="s">
        <v>807</v>
      </c>
      <c r="B6" s="23" t="s">
        <v>808</v>
      </c>
      <c r="C6" s="23" t="s">
        <v>809</v>
      </c>
      <c r="D6" s="23"/>
      <c r="E6" s="23"/>
      <c r="F6" s="23"/>
      <c r="G6" s="23"/>
      <c r="H6" s="23"/>
    </row>
    <row r="7">
      <c r="A7" s="23" t="s">
        <v>810</v>
      </c>
      <c r="B7" s="23" t="s">
        <v>811</v>
      </c>
      <c r="C7" s="23" t="s">
        <v>812</v>
      </c>
      <c r="D7" s="23"/>
      <c r="E7" s="23"/>
      <c r="F7" s="23"/>
      <c r="G7" s="23"/>
      <c r="H7" s="23"/>
    </row>
    <row r="8">
      <c r="A8" s="23" t="s">
        <v>813</v>
      </c>
      <c r="B8" s="23" t="s">
        <v>814</v>
      </c>
      <c r="C8" s="23" t="s">
        <v>815</v>
      </c>
      <c r="D8" s="23"/>
      <c r="E8" s="23"/>
      <c r="F8" s="23"/>
      <c r="G8" s="23"/>
      <c r="H8" s="23"/>
    </row>
    <row r="9">
      <c r="A9" s="23" t="s">
        <v>816</v>
      </c>
      <c r="B9" s="23" t="s">
        <v>817</v>
      </c>
      <c r="C9" s="23" t="s">
        <v>818</v>
      </c>
      <c r="D9" s="23"/>
      <c r="E9" s="23"/>
      <c r="F9" s="23"/>
      <c r="G9" s="23"/>
      <c r="H9" s="23"/>
    </row>
    <row r="10">
      <c r="A10" s="23" t="s">
        <v>819</v>
      </c>
      <c r="B10" s="23" t="s">
        <v>820</v>
      </c>
      <c r="C10" s="23" t="s">
        <v>821</v>
      </c>
      <c r="D10" s="23"/>
      <c r="E10" s="23"/>
      <c r="F10" s="23"/>
      <c r="G10" s="23"/>
      <c r="H10" s="23"/>
    </row>
    <row r="11">
      <c r="A11" s="24"/>
      <c r="B11" s="24"/>
      <c r="C11" s="24"/>
      <c r="D11" s="24"/>
      <c r="E11" s="24"/>
      <c r="F11" s="24"/>
      <c r="G11" s="24"/>
      <c r="H11" s="24"/>
    </row>
    <row r="12">
      <c r="A12" s="21" t="s">
        <v>822</v>
      </c>
      <c r="B12" s="21"/>
      <c r="C12" s="21"/>
      <c r="D12" s="21"/>
      <c r="E12" s="21"/>
      <c r="F12" s="21"/>
      <c r="G12" s="21"/>
      <c r="H12" s="21"/>
    </row>
    <row r="13">
      <c r="A13" s="22" t="s">
        <v>823</v>
      </c>
      <c r="B13" s="22" t="s">
        <v>824</v>
      </c>
      <c r="C13" s="22" t="s">
        <v>825</v>
      </c>
      <c r="D13" s="22" t="s">
        <v>826</v>
      </c>
      <c r="E13" s="22" t="s">
        <v>827</v>
      </c>
      <c r="F13" s="22" t="s">
        <v>828</v>
      </c>
      <c r="G13" s="22" t="s">
        <v>829</v>
      </c>
      <c r="H13" s="22" t="s">
        <v>830</v>
      </c>
    </row>
    <row r="14">
      <c r="A14" s="23" t="s">
        <v>831</v>
      </c>
      <c r="B14" s="23" t="s">
        <v>832</v>
      </c>
      <c r="C14" s="23" t="s">
        <v>833</v>
      </c>
      <c r="D14" s="23" t="s">
        <v>833</v>
      </c>
      <c r="E14" s="23" t="s">
        <v>833</v>
      </c>
      <c r="F14" s="23" t="s">
        <v>834</v>
      </c>
      <c r="G14" s="23" t="s">
        <v>835</v>
      </c>
      <c r="H14" s="23" t="s">
        <v>836</v>
      </c>
    </row>
    <row r="15">
      <c r="A15" s="23" t="s">
        <v>837</v>
      </c>
      <c r="B15" s="23" t="s">
        <v>838</v>
      </c>
      <c r="C15" s="23" t="s">
        <v>839</v>
      </c>
      <c r="D15" s="23" t="s">
        <v>839</v>
      </c>
      <c r="E15" s="23" t="s">
        <v>833</v>
      </c>
      <c r="F15" s="23" t="s">
        <v>840</v>
      </c>
      <c r="G15" s="23" t="s">
        <v>841</v>
      </c>
      <c r="H15" s="23" t="s">
        <v>842</v>
      </c>
    </row>
    <row r="16">
      <c r="A16" s="23" t="s">
        <v>843</v>
      </c>
      <c r="B16" s="23" t="s">
        <v>844</v>
      </c>
      <c r="C16" s="23" t="s">
        <v>845</v>
      </c>
      <c r="D16" s="23" t="s">
        <v>833</v>
      </c>
      <c r="E16" s="23" t="s">
        <v>833</v>
      </c>
      <c r="F16" s="23" t="s">
        <v>846</v>
      </c>
      <c r="G16" s="23" t="s">
        <v>847</v>
      </c>
      <c r="H16" s="23" t="s">
        <v>848</v>
      </c>
    </row>
    <row r="17">
      <c r="A17" s="23" t="s">
        <v>849</v>
      </c>
      <c r="B17" s="23" t="s">
        <v>850</v>
      </c>
      <c r="C17" s="23" t="s">
        <v>851</v>
      </c>
      <c r="D17" s="23" t="s">
        <v>852</v>
      </c>
      <c r="E17" s="23" t="s">
        <v>833</v>
      </c>
      <c r="F17" s="23" t="s">
        <v>846</v>
      </c>
      <c r="G17" s="23" t="s">
        <v>847</v>
      </c>
      <c r="H17" s="23" t="s">
        <v>853</v>
      </c>
    </row>
    <row r="18">
      <c r="A18" s="23" t="s">
        <v>854</v>
      </c>
      <c r="B18" s="23" t="s">
        <v>855</v>
      </c>
      <c r="C18" s="23" t="s">
        <v>856</v>
      </c>
      <c r="D18" s="23" t="s">
        <v>857</v>
      </c>
      <c r="E18" s="23" t="s">
        <v>858</v>
      </c>
      <c r="F18" s="23" t="s">
        <v>859</v>
      </c>
      <c r="G18" s="23" t="s">
        <v>860</v>
      </c>
      <c r="H18" s="23" t="s">
        <v>861</v>
      </c>
    </row>
    <row r="19">
      <c r="A19" s="23" t="s">
        <v>862</v>
      </c>
      <c r="B19" s="23" t="s">
        <v>833</v>
      </c>
      <c r="C19" s="23" t="s">
        <v>833</v>
      </c>
      <c r="D19" s="23" t="s">
        <v>833</v>
      </c>
      <c r="E19" s="23" t="s">
        <v>863</v>
      </c>
      <c r="F19" s="23" t="s">
        <v>846</v>
      </c>
      <c r="G19" s="23" t="s">
        <v>864</v>
      </c>
      <c r="H19" s="23" t="s">
        <v>865</v>
      </c>
    </row>
    <row r="20">
      <c r="A20" s="23" t="s">
        <v>866</v>
      </c>
      <c r="B20" s="23" t="s">
        <v>867</v>
      </c>
      <c r="C20" s="23" t="s">
        <v>833</v>
      </c>
      <c r="D20" s="23" t="s">
        <v>833</v>
      </c>
      <c r="E20" s="23" t="s">
        <v>833</v>
      </c>
      <c r="F20" s="23" t="s">
        <v>868</v>
      </c>
      <c r="G20" s="23" t="s">
        <v>869</v>
      </c>
      <c r="H20" s="23" t="s">
        <v>870</v>
      </c>
    </row>
    <row r="21">
      <c r="A21" s="23" t="s">
        <v>871</v>
      </c>
      <c r="B21" s="23"/>
      <c r="C21" s="23"/>
      <c r="D21" s="23"/>
      <c r="E21" s="23"/>
      <c r="F21" s="23"/>
      <c r="G21" s="23"/>
      <c r="H21" s="23"/>
    </row>
    <row r="22">
      <c r="A22" s="23"/>
      <c r="B22" s="23"/>
      <c r="C22" s="23"/>
      <c r="D22" s="23"/>
      <c r="E22" s="23"/>
      <c r="F22" s="23"/>
      <c r="G22" s="23"/>
      <c r="H22" s="23"/>
    </row>
    <row r="23">
      <c r="A23" s="21" t="s">
        <v>872</v>
      </c>
      <c r="B23" s="21"/>
      <c r="C23" s="21"/>
      <c r="D23" s="21"/>
      <c r="E23" s="21"/>
      <c r="F23" s="21"/>
      <c r="G23" s="21"/>
      <c r="H23" s="21"/>
    </row>
    <row r="24">
      <c r="A24" s="22" t="s">
        <v>873</v>
      </c>
      <c r="B24" s="22" t="s">
        <v>874</v>
      </c>
      <c r="C24" s="22" t="s">
        <v>875</v>
      </c>
      <c r="D24" s="22"/>
      <c r="E24" s="22"/>
      <c r="F24" s="22"/>
      <c r="G24" s="22"/>
      <c r="H24" s="22"/>
    </row>
    <row r="25">
      <c r="A25" s="23" t="s">
        <v>876</v>
      </c>
      <c r="B25" s="23" t="s">
        <v>877</v>
      </c>
      <c r="C25" s="23" t="s">
        <v>878</v>
      </c>
      <c r="D25" s="23"/>
      <c r="E25" s="23"/>
      <c r="F25" s="23"/>
      <c r="G25" s="23"/>
      <c r="H25" s="23"/>
    </row>
    <row r="26">
      <c r="A26" s="24" t="s">
        <v>879</v>
      </c>
      <c r="B26" s="24" t="s">
        <v>880</v>
      </c>
      <c r="C26" s="24" t="s">
        <v>881</v>
      </c>
      <c r="D26" s="24"/>
      <c r="E26" s="24"/>
      <c r="F26" s="24"/>
      <c r="G26" s="24"/>
      <c r="H26" s="24"/>
    </row>
    <row r="27">
      <c r="A27" s="22" t="s">
        <v>882</v>
      </c>
      <c r="B27" s="22" t="s">
        <v>883</v>
      </c>
      <c r="C27" s="22" t="s">
        <v>884</v>
      </c>
      <c r="D27" s="22"/>
      <c r="E27" s="22"/>
      <c r="F27" s="22"/>
      <c r="G27" s="22"/>
      <c r="H27" s="22"/>
    </row>
    <row r="28">
      <c r="A28" s="23" t="s">
        <v>885</v>
      </c>
      <c r="B28" s="23" t="s">
        <v>886</v>
      </c>
      <c r="C28" s="23" t="s">
        <v>887</v>
      </c>
      <c r="D28" s="23"/>
      <c r="E28" s="23"/>
      <c r="F28" s="23"/>
      <c r="G28" s="23"/>
      <c r="H28" s="23"/>
    </row>
    <row r="29">
      <c r="A29" s="23"/>
      <c r="B29" s="23"/>
      <c r="C29" s="23"/>
      <c r="D29" s="23"/>
      <c r="E29" s="23"/>
      <c r="F29" s="23"/>
      <c r="G29" s="23"/>
      <c r="H29" s="23"/>
    </row>
    <row r="30">
      <c r="A30" s="21" t="s">
        <v>888</v>
      </c>
      <c r="B30" s="21"/>
      <c r="C30" s="21"/>
      <c r="D30" s="21"/>
      <c r="E30" s="21"/>
      <c r="F30" s="21"/>
      <c r="G30" s="21"/>
      <c r="H30" s="21"/>
    </row>
    <row r="31">
      <c r="A31" s="22" t="s">
        <v>889</v>
      </c>
      <c r="B31" s="22" t="s">
        <v>890</v>
      </c>
      <c r="C31" s="22" t="s">
        <v>891</v>
      </c>
      <c r="D31" s="22"/>
      <c r="E31" s="22"/>
      <c r="F31" s="22"/>
      <c r="G31" s="22"/>
      <c r="H31" s="22"/>
    </row>
    <row r="32">
      <c r="A32" s="23" t="s">
        <v>892</v>
      </c>
      <c r="B32" s="23" t="s">
        <v>893</v>
      </c>
      <c r="C32" s="23" t="s">
        <v>894</v>
      </c>
      <c r="D32" s="23"/>
      <c r="E32" s="23"/>
      <c r="F32" s="23"/>
      <c r="G32" s="23"/>
      <c r="H32" s="23"/>
    </row>
    <row r="33">
      <c r="A33" s="24" t="s">
        <v>895</v>
      </c>
      <c r="B33" s="24" t="s">
        <v>893</v>
      </c>
      <c r="C33" s="24" t="s">
        <v>896</v>
      </c>
      <c r="D33" s="24"/>
      <c r="E33" s="24"/>
      <c r="F33" s="24"/>
      <c r="G33" s="24"/>
      <c r="H33" s="24"/>
    </row>
    <row r="34">
      <c r="A34" s="22" t="s">
        <v>897</v>
      </c>
      <c r="B34" s="22" t="s">
        <v>898</v>
      </c>
      <c r="C34" s="22" t="s">
        <v>899</v>
      </c>
      <c r="D34" s="22"/>
      <c r="E34" s="22"/>
      <c r="F34" s="22"/>
      <c r="G34" s="22"/>
      <c r="H34" s="22"/>
    </row>
    <row r="35">
      <c r="A35" s="23" t="s">
        <v>882</v>
      </c>
      <c r="B35" s="23" t="s">
        <v>900</v>
      </c>
      <c r="C35" s="23" t="s">
        <v>901</v>
      </c>
      <c r="D35" s="23"/>
      <c r="E35" s="23"/>
      <c r="F35" s="23"/>
      <c r="G35" s="23"/>
      <c r="H35" s="23"/>
    </row>
    <row r="36">
      <c r="A36" s="23" t="s">
        <v>902</v>
      </c>
      <c r="B36" s="23" t="s">
        <v>903</v>
      </c>
      <c r="C36" s="23" t="s">
        <v>904</v>
      </c>
      <c r="D36" s="23"/>
      <c r="E36" s="23"/>
      <c r="F36" s="23"/>
      <c r="G36" s="23"/>
      <c r="H36" s="23"/>
    </row>
    <row r="37">
      <c r="A37" s="23" t="s">
        <v>905</v>
      </c>
      <c r="B37" s="23" t="s">
        <v>906</v>
      </c>
      <c r="C37" s="23" t="s">
        <v>907</v>
      </c>
      <c r="D37" s="23"/>
      <c r="E37" s="23"/>
      <c r="F37" s="23"/>
      <c r="G37" s="23"/>
      <c r="H37" s="23"/>
    </row>
    <row r="38">
      <c r="A38" s="23"/>
      <c r="B38" s="23"/>
      <c r="C38" s="23"/>
      <c r="D38" s="23"/>
      <c r="E38" s="23"/>
      <c r="F38" s="23"/>
      <c r="G38" s="23"/>
      <c r="H38" s="23"/>
    </row>
    <row r="39">
      <c r="A39" s="21" t="s">
        <v>908</v>
      </c>
      <c r="B39" s="21"/>
      <c r="C39" s="21"/>
      <c r="D39" s="21"/>
      <c r="E39" s="21"/>
      <c r="F39" s="21"/>
      <c r="G39" s="21"/>
      <c r="H39" s="21"/>
    </row>
    <row r="40">
      <c r="A40" s="22" t="s">
        <v>909</v>
      </c>
      <c r="B40" s="23" t="s">
        <v>910</v>
      </c>
      <c r="C40" s="23" t="s">
        <v>911</v>
      </c>
      <c r="D40" s="23" t="s">
        <v>912</v>
      </c>
      <c r="E40" s="23" t="s">
        <v>913</v>
      </c>
      <c r="F40" s="23" t="s">
        <v>914</v>
      </c>
      <c r="G40" s="23" t="s">
        <v>915</v>
      </c>
      <c r="H40" s="23" t="s">
        <v>916</v>
      </c>
    </row>
    <row r="41">
      <c r="A41" s="22" t="s">
        <v>917</v>
      </c>
      <c r="B41" s="23" t="s">
        <v>918</v>
      </c>
      <c r="C41" s="23" t="s">
        <v>919</v>
      </c>
      <c r="D41" s="23" t="s">
        <v>912</v>
      </c>
      <c r="E41" s="23" t="s">
        <v>920</v>
      </c>
      <c r="F41" s="23" t="s">
        <v>921</v>
      </c>
      <c r="G41" s="23" t="s">
        <v>915</v>
      </c>
      <c r="H41" s="23" t="s">
        <v>922</v>
      </c>
    </row>
    <row r="42">
      <c r="A42" s="22" t="s">
        <v>923</v>
      </c>
      <c r="B42" s="23" t="s">
        <v>924</v>
      </c>
      <c r="C42" s="23" t="s">
        <v>925</v>
      </c>
      <c r="D42" s="23" t="s">
        <v>912</v>
      </c>
      <c r="E42" s="23" t="s">
        <v>926</v>
      </c>
      <c r="F42" s="23" t="s">
        <v>927</v>
      </c>
      <c r="G42" s="23" t="s">
        <v>915</v>
      </c>
      <c r="H42" s="23" t="s">
        <v>928</v>
      </c>
    </row>
    <row r="43">
      <c r="A43" s="22" t="s">
        <v>929</v>
      </c>
      <c r="B43" s="23" t="s">
        <v>930</v>
      </c>
      <c r="C43" s="23" t="s">
        <v>912</v>
      </c>
      <c r="D43" s="23" t="s">
        <v>931</v>
      </c>
      <c r="E43" s="23" t="s">
        <v>932</v>
      </c>
      <c r="F43" s="23" t="s">
        <v>933</v>
      </c>
      <c r="G43" s="23" t="s">
        <v>934</v>
      </c>
      <c r="H43" s="23" t="s">
        <v>935</v>
      </c>
    </row>
    <row r="44">
      <c r="A44" s="22" t="s">
        <v>936</v>
      </c>
      <c r="B44" s="23" t="s">
        <v>937</v>
      </c>
      <c r="C44" s="23" t="s">
        <v>912</v>
      </c>
      <c r="D44" s="23" t="s">
        <v>938</v>
      </c>
      <c r="E44" s="23" t="s">
        <v>939</v>
      </c>
      <c r="F44" s="23" t="s">
        <v>940</v>
      </c>
      <c r="G44" s="23" t="s">
        <v>934</v>
      </c>
      <c r="H44" s="23" t="s">
        <v>941</v>
      </c>
    </row>
    <row r="45">
      <c r="A45" s="22" t="s">
        <v>942</v>
      </c>
      <c r="B45" s="23" t="s">
        <v>943</v>
      </c>
      <c r="C45" s="23" t="s">
        <v>912</v>
      </c>
      <c r="D45" s="23" t="s">
        <v>944</v>
      </c>
      <c r="E45" s="23" t="s">
        <v>945</v>
      </c>
      <c r="F45" s="23" t="s">
        <v>946</v>
      </c>
      <c r="G45" s="23" t="s">
        <v>934</v>
      </c>
      <c r="H45" s="23" t="s">
        <v>947</v>
      </c>
    </row>
    <row customHeight="true" ht="19" r="46">
      <c r="A46" s="25" t="s">
        <v>948</v>
      </c>
      <c r="B46" s="25"/>
      <c r="C46" s="25"/>
      <c r="D46" s="25"/>
      <c r="E46" s="25"/>
      <c r="F46" s="25"/>
      <c r="G46" s="25"/>
      <c r="H46" s="25"/>
    </row>
    <row customHeight="true" ht="19" r="47">
      <c r="A47" s="25"/>
      <c r="B47" s="25"/>
      <c r="C47" s="25"/>
      <c r="D47" s="25"/>
      <c r="E47" s="25"/>
      <c r="F47" s="25"/>
      <c r="G47" s="25"/>
      <c r="H47" s="25"/>
    </row>
    <row customHeight="true" ht="19" r="48">
      <c r="A48" s="21" t="s">
        <v>949</v>
      </c>
      <c r="B48" s="21"/>
      <c r="C48" s="21"/>
      <c r="D48" s="21"/>
      <c r="E48" s="21"/>
      <c r="F48" s="21"/>
      <c r="G48" s="21"/>
      <c r="H48" s="21"/>
    </row>
    <row customHeight="true" ht="19" r="49">
      <c r="A49" s="26" t="s">
        <v>950</v>
      </c>
      <c r="B49" s="25" t="s">
        <v>824</v>
      </c>
      <c r="C49" s="25" t="s">
        <v>825</v>
      </c>
      <c r="D49" s="25" t="s">
        <v>826</v>
      </c>
      <c r="E49" s="25" t="s">
        <v>827</v>
      </c>
      <c r="F49" s="25" t="s">
        <v>828</v>
      </c>
      <c r="G49" s="25" t="s">
        <v>829</v>
      </c>
      <c r="H49" s="25" t="s">
        <v>830</v>
      </c>
    </row>
    <row customHeight="true" ht="19" r="50">
      <c r="A50" s="26" t="s">
        <v>951</v>
      </c>
      <c r="B50" s="25" t="s">
        <v>952</v>
      </c>
      <c r="C50" s="25" t="s">
        <v>953</v>
      </c>
      <c r="D50" s="25" t="s">
        <v>833</v>
      </c>
      <c r="E50" s="25" t="s">
        <v>833</v>
      </c>
      <c r="F50" s="25" t="s">
        <v>954</v>
      </c>
      <c r="G50" s="25" t="s">
        <v>934</v>
      </c>
      <c r="H50" s="25" t="s">
        <v>955</v>
      </c>
    </row>
    <row customHeight="true" ht="19" r="51">
      <c r="A51" s="25" t="s">
        <v>956</v>
      </c>
      <c r="B51" s="25" t="s">
        <v>957</v>
      </c>
      <c r="C51" s="25" t="s">
        <v>833</v>
      </c>
      <c r="D51" s="25" t="s">
        <v>833</v>
      </c>
      <c r="E51" s="25" t="s">
        <v>958</v>
      </c>
      <c r="F51" s="25" t="s">
        <v>959</v>
      </c>
      <c r="G51" s="25" t="s">
        <v>934</v>
      </c>
      <c r="H51" s="25" t="s">
        <v>960</v>
      </c>
    </row>
    <row customHeight="true" ht="19" r="52">
      <c r="A52" s="25" t="s">
        <v>961</v>
      </c>
      <c r="B52" s="25"/>
      <c r="C52" s="25"/>
      <c r="D52" s="25"/>
      <c r="E52" s="25"/>
      <c r="F52" s="25"/>
      <c r="G52" s="25"/>
      <c r="H52" s="25"/>
    </row>
  </sheetData>
  <picture r:id="rId1"/>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22"/>
    <col collapsed="false" customWidth="true" hidden="false" max="3" min="3" style="0" width="40"/>
    <col collapsed="false" customWidth="true" hidden="false" max="5" min="5" style="0" width="26"/>
    <col collapsed="false" customWidth="true" hidden="false" max="7" min="7" style="0" width="29"/>
    <col collapsed="false" customWidth="true" hidden="false" max="2" min="2" style="0" width="12"/>
    <col collapsed="false" customWidth="true" hidden="false" max="4" min="4" style="0" width="30"/>
    <col collapsed="false" customWidth="true" hidden="false" max="6" min="6" style="0" width="34"/>
    <col collapsed="false" customWidth="true" hidden="false" max="8" min="8" style="0" width="37"/>
  </cols>
  <sheetData>
    <row r="1">
      <c r="A1" s="27" t="s">
        <v>962</v>
      </c>
      <c r="B1" s="27"/>
      <c r="C1" s="27"/>
      <c r="D1" s="27"/>
      <c r="E1" s="27"/>
      <c r="F1" s="27"/>
      <c r="G1" s="27"/>
      <c r="H1" s="27"/>
    </row>
    <row r="2">
      <c r="A2" s="28" t="s">
        <v>963</v>
      </c>
      <c r="B2" s="28" t="s">
        <v>964</v>
      </c>
      <c r="C2" s="28" t="s">
        <v>965</v>
      </c>
      <c r="D2" s="28" t="s">
        <v>966</v>
      </c>
      <c r="E2" s="28" t="s">
        <v>967</v>
      </c>
      <c r="F2" s="28" t="s">
        <v>968</v>
      </c>
      <c r="G2" s="28" t="s">
        <v>969</v>
      </c>
      <c r="H2" s="28" t="s">
        <v>970</v>
      </c>
    </row>
    <row r="3">
      <c r="A3" s="29" t="s">
        <v>971</v>
      </c>
      <c r="B3" s="30" t="s">
        <v>972</v>
      </c>
      <c r="C3" s="30" t="s">
        <v>973</v>
      </c>
      <c r="D3" s="30" t="s">
        <v>974</v>
      </c>
      <c r="E3" s="30" t="s">
        <v>975</v>
      </c>
      <c r="F3" s="30" t="s">
        <v>976</v>
      </c>
      <c r="G3" s="30" t="s">
        <v>977</v>
      </c>
      <c r="H3" s="30" t="s">
        <v>978</v>
      </c>
    </row>
    <row r="4">
      <c r="A4" s="29" t="s">
        <v>979</v>
      </c>
      <c r="B4" s="30" t="s">
        <v>980</v>
      </c>
      <c r="C4" s="30" t="s">
        <v>981</v>
      </c>
      <c r="D4" s="30" t="s">
        <v>982</v>
      </c>
      <c r="E4" s="30" t="s">
        <v>983</v>
      </c>
      <c r="F4" s="30" t="s">
        <v>984</v>
      </c>
      <c r="G4" s="30" t="s">
        <v>985</v>
      </c>
      <c r="H4" s="30" t="s">
        <v>986</v>
      </c>
    </row>
    <row r="5">
      <c r="A5" s="29" t="s">
        <v>987</v>
      </c>
      <c r="B5" s="30" t="s">
        <v>988</v>
      </c>
      <c r="C5" s="30" t="s">
        <v>989</v>
      </c>
      <c r="D5" s="30" t="s">
        <v>990</v>
      </c>
      <c r="E5" s="30" t="s">
        <v>991</v>
      </c>
      <c r="F5" s="30" t="s">
        <v>992</v>
      </c>
      <c r="G5" s="30" t="s">
        <v>993</v>
      </c>
      <c r="H5" s="30" t="s">
        <v>994</v>
      </c>
    </row>
    <row r="6">
      <c r="A6" s="29" t="s">
        <v>995</v>
      </c>
      <c r="B6" s="30" t="s">
        <v>996</v>
      </c>
      <c r="C6" s="30" t="s">
        <v>997</v>
      </c>
      <c r="D6" s="30" t="s">
        <v>998</v>
      </c>
      <c r="E6" s="30" t="s">
        <v>999</v>
      </c>
      <c r="F6" s="30" t="s">
        <v>1000</v>
      </c>
      <c r="G6" s="30" t="s">
        <v>1001</v>
      </c>
      <c r="H6" s="30" t="s">
        <v>1002</v>
      </c>
    </row>
    <row r="7">
      <c r="A7" s="29" t="s">
        <v>1003</v>
      </c>
      <c r="B7" s="30" t="s">
        <v>996</v>
      </c>
      <c r="C7" s="30" t="s">
        <v>1004</v>
      </c>
      <c r="D7" s="30" t="s">
        <v>1005</v>
      </c>
      <c r="E7" s="30" t="s">
        <v>1006</v>
      </c>
      <c r="F7" s="30" t="s">
        <v>1007</v>
      </c>
      <c r="G7" s="30" t="s">
        <v>1008</v>
      </c>
      <c r="H7" s="30" t="s">
        <v>1009</v>
      </c>
    </row>
    <row r="8">
      <c r="A8" s="29" t="s">
        <v>1010</v>
      </c>
      <c r="B8" s="30" t="s">
        <v>996</v>
      </c>
      <c r="C8" s="30" t="s">
        <v>1011</v>
      </c>
      <c r="D8" s="30" t="s">
        <v>1012</v>
      </c>
      <c r="E8" s="30" t="s">
        <v>1013</v>
      </c>
      <c r="F8" s="30" t="s">
        <v>1014</v>
      </c>
      <c r="G8" s="30" t="s">
        <v>1015</v>
      </c>
      <c r="H8" s="30" t="s">
        <v>1016</v>
      </c>
    </row>
    <row r="9">
      <c r="A9" s="29" t="s">
        <v>1017</v>
      </c>
      <c r="B9" s="30" t="s">
        <v>996</v>
      </c>
      <c r="C9" s="30" t="s">
        <v>1018</v>
      </c>
      <c r="D9" s="30" t="s">
        <v>1019</v>
      </c>
      <c r="E9" s="30" t="s">
        <v>1020</v>
      </c>
      <c r="F9" s="30" t="s">
        <v>1021</v>
      </c>
      <c r="G9" s="30" t="s">
        <v>1022</v>
      </c>
      <c r="H9" s="30" t="s">
        <v>1023</v>
      </c>
    </row>
    <row r="10">
      <c r="A10" s="29" t="s">
        <v>1024</v>
      </c>
      <c r="B10" s="30" t="s">
        <v>996</v>
      </c>
      <c r="C10" s="30" t="s">
        <v>1025</v>
      </c>
      <c r="D10" s="30" t="s">
        <v>1026</v>
      </c>
      <c r="E10" s="30" t="s">
        <v>1027</v>
      </c>
      <c r="F10" s="30" t="s">
        <v>1028</v>
      </c>
      <c r="G10" s="30" t="s">
        <v>1029</v>
      </c>
      <c r="H10" s="30" t="s">
        <v>1030</v>
      </c>
    </row>
    <row r="11">
      <c r="A11" s="29" t="s">
        <v>1031</v>
      </c>
      <c r="B11" s="30" t="s">
        <v>1032</v>
      </c>
      <c r="C11" s="30" t="s">
        <v>1033</v>
      </c>
      <c r="D11" s="30" t="s">
        <v>1034</v>
      </c>
      <c r="E11" s="30" t="s">
        <v>1035</v>
      </c>
      <c r="F11" s="30" t="s">
        <v>1036</v>
      </c>
      <c r="G11" s="30" t="s">
        <v>1037</v>
      </c>
      <c r="H11" s="30" t="s">
        <v>1038</v>
      </c>
    </row>
    <row r="12">
      <c r="A12" s="29" t="s">
        <v>1039</v>
      </c>
      <c r="B12" s="30" t="s">
        <v>1040</v>
      </c>
      <c r="C12" s="30" t="s">
        <v>1041</v>
      </c>
      <c r="D12" s="30" t="s">
        <v>1042</v>
      </c>
      <c r="E12" s="30" t="s">
        <v>1043</v>
      </c>
      <c r="F12" s="30" t="s">
        <v>1044</v>
      </c>
      <c r="G12" s="30" t="s">
        <v>1045</v>
      </c>
      <c r="H12" s="30" t="s">
        <v>1046</v>
      </c>
    </row>
    <row r="13">
      <c r="A13" s="29" t="s">
        <v>1047</v>
      </c>
      <c r="B13" s="30" t="s">
        <v>1040</v>
      </c>
      <c r="C13" s="30" t="s">
        <v>1048</v>
      </c>
      <c r="D13" s="30" t="s">
        <v>1049</v>
      </c>
      <c r="E13" s="30" t="s">
        <v>1050</v>
      </c>
      <c r="F13" s="30" t="s">
        <v>1051</v>
      </c>
      <c r="G13" s="30" t="s">
        <v>1052</v>
      </c>
      <c r="H13" s="30" t="s">
        <v>1053</v>
      </c>
    </row>
    <row r="14">
      <c r="A14" s="29" t="s">
        <v>1054</v>
      </c>
      <c r="B14" s="30" t="s">
        <v>1040</v>
      </c>
      <c r="C14" s="30" t="s">
        <v>1055</v>
      </c>
      <c r="D14" s="30" t="s">
        <v>1056</v>
      </c>
      <c r="E14" s="30" t="s">
        <v>1057</v>
      </c>
      <c r="F14" s="30" t="s">
        <v>1058</v>
      </c>
      <c r="G14" s="30" t="s">
        <v>1059</v>
      </c>
      <c r="H14" s="30" t="s">
        <v>1060</v>
      </c>
    </row>
    <row r="15">
      <c r="A15" s="30"/>
      <c r="B15" s="30"/>
      <c r="C15" s="30"/>
      <c r="D15" s="30"/>
      <c r="E15" s="30"/>
      <c r="F15" s="30"/>
      <c r="G15" s="30"/>
      <c r="H15" s="30"/>
    </row>
    <row r="16">
      <c r="A16" s="28" t="s">
        <v>1061</v>
      </c>
      <c r="B16" s="28"/>
      <c r="C16" s="28"/>
      <c r="D16" s="28"/>
      <c r="E16" s="28"/>
      <c r="F16" s="28"/>
      <c r="G16" s="28"/>
      <c r="H16" s="28"/>
    </row>
    <row r="17">
      <c r="A17" s="31" t="s">
        <v>1062</v>
      </c>
      <c r="B17" s="30" t="s">
        <v>1063</v>
      </c>
      <c r="C17" s="30" t="s">
        <v>1064</v>
      </c>
      <c r="D17" s="30" t="s">
        <v>1065</v>
      </c>
      <c r="E17" s="30" t="s">
        <v>1066</v>
      </c>
      <c r="F17" s="30" t="s">
        <v>1067</v>
      </c>
      <c r="G17" s="30" t="s">
        <v>1068</v>
      </c>
      <c r="H17" s="30" t="s">
        <v>1069</v>
      </c>
    </row>
    <row r="18">
      <c r="A18" s="31" t="s">
        <v>1070</v>
      </c>
      <c r="B18" s="30" t="s">
        <v>1071</v>
      </c>
      <c r="C18" s="30" t="s">
        <v>1072</v>
      </c>
      <c r="D18" s="30" t="s">
        <v>1073</v>
      </c>
      <c r="E18" s="30" t="s">
        <v>1074</v>
      </c>
      <c r="F18" s="30" t="s">
        <v>1075</v>
      </c>
      <c r="G18" s="30" t="s">
        <v>1076</v>
      </c>
      <c r="H18" s="30" t="s">
        <v>1077</v>
      </c>
    </row>
    <row r="19">
      <c r="A19" s="31" t="s">
        <v>1078</v>
      </c>
      <c r="B19" s="30" t="s">
        <v>1079</v>
      </c>
      <c r="C19" s="30" t="s">
        <v>1080</v>
      </c>
      <c r="D19" s="30" t="s">
        <v>1081</v>
      </c>
      <c r="E19" s="30" t="s">
        <v>1082</v>
      </c>
      <c r="F19" s="30" t="s">
        <v>1083</v>
      </c>
      <c r="G19" s="30" t="s">
        <v>1084</v>
      </c>
      <c r="H19" s="30" t="s">
        <v>1085</v>
      </c>
    </row>
    <row r="20">
      <c r="A20" s="31" t="s">
        <v>1086</v>
      </c>
      <c r="B20" s="30" t="s">
        <v>1087</v>
      </c>
      <c r="C20" s="30" t="s">
        <v>1088</v>
      </c>
      <c r="D20" s="30" t="s">
        <v>1089</v>
      </c>
      <c r="E20" s="30" t="s">
        <v>1090</v>
      </c>
      <c r="F20" s="30" t="s">
        <v>1091</v>
      </c>
      <c r="G20" s="30" t="s">
        <v>1092</v>
      </c>
      <c r="H20" s="30" t="s">
        <v>1093</v>
      </c>
    </row>
    <row r="21">
      <c r="A21" s="32" t="s">
        <v>1094</v>
      </c>
      <c r="B21" s="33" t="s">
        <v>1095</v>
      </c>
      <c r="C21" s="33" t="s">
        <v>1096</v>
      </c>
      <c r="D21" s="33" t="s">
        <v>1097</v>
      </c>
      <c r="E21" s="33" t="s">
        <v>1098</v>
      </c>
      <c r="F21" s="33" t="s">
        <v>1099</v>
      </c>
      <c r="G21" s="33" t="s">
        <v>1100</v>
      </c>
      <c r="H21" s="33" t="s">
        <v>1101</v>
      </c>
    </row>
    <row r="22">
      <c r="A22" s="32" t="s">
        <v>1102</v>
      </c>
      <c r="B22" s="33" t="s">
        <v>1103</v>
      </c>
      <c r="C22" s="33" t="s">
        <v>1104</v>
      </c>
      <c r="D22" s="33" t="s">
        <v>1105</v>
      </c>
      <c r="E22" s="33" t="s">
        <v>1106</v>
      </c>
      <c r="F22" s="33" t="s">
        <v>1107</v>
      </c>
      <c r="G22" s="33" t="s">
        <v>1108</v>
      </c>
      <c r="H22" s="33" t="s">
        <v>1109</v>
      </c>
    </row>
    <row r="23">
      <c r="A23" s="32" t="s">
        <v>1110</v>
      </c>
      <c r="B23" s="33" t="s">
        <v>1111</v>
      </c>
      <c r="C23" s="33" t="s">
        <v>1112</v>
      </c>
      <c r="D23" s="33" t="s">
        <v>1113</v>
      </c>
      <c r="E23" s="33" t="s">
        <v>1114</v>
      </c>
      <c r="F23" s="33" t="s">
        <v>1115</v>
      </c>
      <c r="G23" s="33" t="s">
        <v>1116</v>
      </c>
      <c r="H23" s="33" t="s">
        <v>1117</v>
      </c>
    </row>
    <row r="24">
      <c r="A24" s="32" t="s">
        <v>1118</v>
      </c>
      <c r="B24" s="33" t="s">
        <v>1111</v>
      </c>
      <c r="C24" s="33" t="s">
        <v>1119</v>
      </c>
      <c r="D24" s="33" t="s">
        <v>1120</v>
      </c>
      <c r="E24" s="33" t="s">
        <v>1121</v>
      </c>
      <c r="F24" s="33" t="s">
        <v>1122</v>
      </c>
      <c r="G24" s="33" t="s">
        <v>1123</v>
      </c>
      <c r="H24" s="33" t="s">
        <v>1124</v>
      </c>
    </row>
    <row r="25">
      <c r="A25" s="32" t="s">
        <v>1125</v>
      </c>
      <c r="B25" s="33" t="s">
        <v>1126</v>
      </c>
      <c r="C25" s="33" t="s">
        <v>1127</v>
      </c>
      <c r="D25" s="33" t="s">
        <v>1128</v>
      </c>
      <c r="E25" s="33" t="s">
        <v>1129</v>
      </c>
      <c r="F25" s="33" t="s">
        <v>1130</v>
      </c>
      <c r="G25" s="33" t="s">
        <v>1131</v>
      </c>
      <c r="H25" s="33" t="s">
        <v>1132</v>
      </c>
    </row>
    <row r="26">
      <c r="A26" s="32" t="s">
        <v>1133</v>
      </c>
      <c r="B26" s="33" t="s">
        <v>1134</v>
      </c>
      <c r="C26" s="33" t="s">
        <v>1135</v>
      </c>
      <c r="D26" s="33" t="s">
        <v>1136</v>
      </c>
      <c r="E26" s="33" t="s">
        <v>1137</v>
      </c>
      <c r="F26" s="33" t="s">
        <v>1138</v>
      </c>
      <c r="G26" s="33" t="s">
        <v>1139</v>
      </c>
      <c r="H26" s="33" t="s">
        <v>1140</v>
      </c>
    </row>
    <row r="27">
      <c r="A27" s="32" t="s">
        <v>1141</v>
      </c>
      <c r="B27" s="33" t="s">
        <v>1142</v>
      </c>
      <c r="C27" s="33" t="s">
        <v>1143</v>
      </c>
      <c r="D27" s="33" t="s">
        <v>1144</v>
      </c>
      <c r="E27" s="33" t="s">
        <v>1145</v>
      </c>
      <c r="F27" s="33" t="s">
        <v>1146</v>
      </c>
      <c r="G27" s="33" t="s">
        <v>1147</v>
      </c>
      <c r="H27" s="33" t="s">
        <v>1148</v>
      </c>
    </row>
    <row r="28">
      <c r="A28" s="32" t="s">
        <v>1149</v>
      </c>
      <c r="B28" s="33" t="s">
        <v>1150</v>
      </c>
      <c r="C28" s="33" t="s">
        <v>1151</v>
      </c>
      <c r="D28" s="33" t="s">
        <v>1152</v>
      </c>
      <c r="E28" s="33" t="s">
        <v>1153</v>
      </c>
      <c r="F28" s="33" t="s">
        <v>1154</v>
      </c>
      <c r="G28" s="33" t="s">
        <v>1155</v>
      </c>
      <c r="H28" s="33" t="s">
        <v>1156</v>
      </c>
    </row>
    <row r="29">
      <c r="A29" s="32" t="s">
        <v>1157</v>
      </c>
      <c r="B29" s="33" t="s">
        <v>1158</v>
      </c>
      <c r="C29" s="33" t="s">
        <v>1159</v>
      </c>
      <c r="D29" s="33" t="s">
        <v>1160</v>
      </c>
      <c r="E29" s="33" t="s">
        <v>1161</v>
      </c>
      <c r="F29" s="33" t="s">
        <v>1162</v>
      </c>
      <c r="G29" s="33" t="s">
        <v>1163</v>
      </c>
      <c r="H29" s="33" t="s">
        <v>1164</v>
      </c>
    </row>
    <row r="30">
      <c r="A30" s="33"/>
      <c r="B30" s="33"/>
      <c r="C30" s="33"/>
      <c r="D30" s="33"/>
      <c r="E30" s="33"/>
      <c r="F30" s="33"/>
      <c r="G30" s="33"/>
      <c r="H30" s="33"/>
    </row>
    <row customHeight="true" ht="19" r="31">
      <c r="A31" s="34" t="s">
        <v>1165</v>
      </c>
      <c r="B31" s="33" t="s">
        <v>1166</v>
      </c>
      <c r="C31" s="33"/>
      <c r="D31" s="33"/>
      <c r="E31" s="33"/>
      <c r="F31" s="33"/>
      <c r="G31" s="33"/>
      <c r="H31" s="33"/>
    </row>
    <row customHeight="true" ht="19" r="32">
      <c r="A32" s="34" t="s">
        <v>1167</v>
      </c>
      <c r="B32" s="33" t="s">
        <v>1168</v>
      </c>
      <c r="C32" s="33"/>
      <c r="D32" s="33"/>
      <c r="E32" s="33"/>
      <c r="F32" s="33"/>
      <c r="G32" s="33"/>
      <c r="H32" s="33"/>
    </row>
    <row customHeight="true" ht="19" r="33">
      <c r="A33" s="34" t="s">
        <v>1169</v>
      </c>
      <c r="B33" s="33" t="s">
        <v>1170</v>
      </c>
      <c r="C33" s="33"/>
      <c r="D33" s="33"/>
      <c r="E33" s="33"/>
      <c r="F33" s="33"/>
      <c r="G33" s="33"/>
      <c r="H33" s="33"/>
    </row>
    <row customHeight="true" ht="19" r="34">
      <c r="A34" s="34" t="s">
        <v>1171</v>
      </c>
      <c r="B34" s="33" t="s">
        <v>1172</v>
      </c>
      <c r="C34" s="33"/>
      <c r="D34" s="33"/>
      <c r="E34" s="33"/>
      <c r="F34" s="33"/>
      <c r="G34" s="33"/>
      <c r="H34" s="33"/>
    </row>
    <row customHeight="true" ht="19" r="35">
      <c r="A35" s="34" t="s">
        <v>1173</v>
      </c>
      <c r="B35" s="33" t="s">
        <v>1174</v>
      </c>
      <c r="C35" s="33"/>
      <c r="D35" s="33"/>
      <c r="E35" s="33"/>
      <c r="F35" s="33"/>
      <c r="G35" s="33"/>
      <c r="H35" s="33"/>
    </row>
    <row customHeight="true" ht="19" r="36">
      <c r="A36" s="34" t="s">
        <v>1175</v>
      </c>
      <c r="B36" s="33" t="s">
        <v>1176</v>
      </c>
      <c r="C36" s="33"/>
      <c r="D36" s="33"/>
      <c r="E36" s="33"/>
      <c r="F36" s="33"/>
      <c r="G36" s="33"/>
      <c r="H36" s="33"/>
    </row>
  </sheetData>
  <picture r:id="rId1"/>
</worksheet>
</file>

<file path=xl/worksheets/sheet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7" min="7" style="0" width="34"/>
    <col collapsed="false" customWidth="true" hidden="false" max="11" min="11" style="0" width="37"/>
    <col collapsed="false" customWidth="true" hidden="false" max="1" min="1" style="0" width="18"/>
    <col collapsed="false" customWidth="true" hidden="false" max="6" min="6" style="0" width="34"/>
  </cols>
  <sheetData>
    <row r="1">
      <c r="A1" s="35" t="s">
        <v>1177</v>
      </c>
      <c r="B1" s="35"/>
      <c r="C1" s="35"/>
      <c r="D1" s="35"/>
      <c r="E1" s="35"/>
      <c r="F1" s="35"/>
      <c r="G1" s="35"/>
      <c r="H1" s="35"/>
      <c r="I1" s="35"/>
      <c r="J1" s="35"/>
      <c r="K1" s="36"/>
    </row>
    <row r="2">
      <c r="A2" s="37" t="s">
        <v>1178</v>
      </c>
      <c r="B2" s="37" t="s">
        <v>1179</v>
      </c>
      <c r="C2" s="37" t="s">
        <v>1180</v>
      </c>
      <c r="D2" s="37" t="s">
        <v>1181</v>
      </c>
      <c r="E2" s="37" t="s">
        <v>1182</v>
      </c>
      <c r="F2" s="37" t="s">
        <v>1183</v>
      </c>
      <c r="G2" s="37" t="s">
        <v>1184</v>
      </c>
      <c r="H2" s="37" t="s">
        <v>1185</v>
      </c>
      <c r="I2" s="37" t="s">
        <v>1186</v>
      </c>
      <c r="J2" s="37" t="s">
        <v>1187</v>
      </c>
      <c r="K2" s="38" t="s">
        <v>1188</v>
      </c>
    </row>
    <row r="3">
      <c r="A3" s="39" t="s">
        <v>1189</v>
      </c>
      <c r="B3" s="40" t="s">
        <v>1190</v>
      </c>
      <c r="C3" s="40" t="s">
        <v>1191</v>
      </c>
      <c r="D3" s="40" t="s">
        <v>1192</v>
      </c>
      <c r="E3" s="40" t="s">
        <v>1193</v>
      </c>
      <c r="F3" s="40" t="s">
        <v>1194</v>
      </c>
      <c r="G3" s="40" t="s">
        <v>1195</v>
      </c>
      <c r="H3" s="40" t="s">
        <v>1196</v>
      </c>
      <c r="I3" s="40" t="s">
        <v>1197</v>
      </c>
      <c r="J3" s="40" t="s">
        <v>1198</v>
      </c>
      <c r="K3" s="40" t="s">
        <v>1199</v>
      </c>
    </row>
    <row r="4">
      <c r="A4" s="39" t="s">
        <v>1200</v>
      </c>
      <c r="B4" s="40" t="s">
        <v>1190</v>
      </c>
      <c r="C4" s="40" t="s">
        <v>1201</v>
      </c>
      <c r="D4" s="40" t="s">
        <v>1202</v>
      </c>
      <c r="E4" s="40" t="s">
        <v>1203</v>
      </c>
      <c r="F4" s="40" t="s">
        <v>1204</v>
      </c>
      <c r="G4" s="40" t="s">
        <v>1205</v>
      </c>
      <c r="H4" s="40" t="s">
        <v>1206</v>
      </c>
      <c r="I4" s="40" t="s">
        <v>1207</v>
      </c>
      <c r="J4" s="40" t="s">
        <v>1208</v>
      </c>
      <c r="K4" s="40" t="s">
        <v>1209</v>
      </c>
    </row>
    <row r="5">
      <c r="A5" s="39" t="s">
        <v>1210</v>
      </c>
      <c r="B5" s="40" t="s">
        <v>1190</v>
      </c>
      <c r="C5" s="40" t="s">
        <v>1211</v>
      </c>
      <c r="D5" s="40">
        <v>10</v>
      </c>
      <c r="E5" s="40" t="s">
        <v>1212</v>
      </c>
      <c r="F5" s="40" t="s">
        <v>1202</v>
      </c>
      <c r="G5" s="40" t="s">
        <v>1213</v>
      </c>
      <c r="H5" s="40" t="s">
        <v>1214</v>
      </c>
      <c r="I5" s="40" t="s">
        <v>1215</v>
      </c>
      <c r="J5" s="40" t="s">
        <v>1216</v>
      </c>
      <c r="K5" s="40" t="s">
        <v>1217</v>
      </c>
    </row>
    <row r="6">
      <c r="A6" s="39" t="s">
        <v>1218</v>
      </c>
      <c r="B6" s="40" t="s">
        <v>1219</v>
      </c>
      <c r="C6" s="40" t="s">
        <v>1220</v>
      </c>
      <c r="D6" s="40" t="s">
        <v>1221</v>
      </c>
      <c r="E6" s="40" t="s">
        <v>1222</v>
      </c>
      <c r="F6" s="40" t="s">
        <v>1223</v>
      </c>
      <c r="G6" s="40" t="s">
        <v>1224</v>
      </c>
      <c r="H6" s="40" t="s">
        <v>1225</v>
      </c>
      <c r="I6" s="40" t="s">
        <v>1226</v>
      </c>
      <c r="J6" s="40" t="s">
        <v>1227</v>
      </c>
      <c r="K6" s="40" t="s">
        <v>1228</v>
      </c>
    </row>
    <row r="7">
      <c r="A7" s="39" t="s">
        <v>1229</v>
      </c>
      <c r="B7" s="40" t="s">
        <v>1190</v>
      </c>
      <c r="C7" s="40" t="s">
        <v>1230</v>
      </c>
      <c r="D7" s="40" t="s">
        <v>1202</v>
      </c>
      <c r="E7" s="40" t="s">
        <v>1231</v>
      </c>
      <c r="F7" s="40" t="s">
        <v>1202</v>
      </c>
      <c r="G7" s="40" t="s">
        <v>1232</v>
      </c>
      <c r="H7" s="40" t="s">
        <v>1233</v>
      </c>
      <c r="I7" s="40" t="s">
        <v>1234</v>
      </c>
      <c r="J7" s="40" t="s">
        <v>1198</v>
      </c>
      <c r="K7" s="40" t="s">
        <v>1235</v>
      </c>
    </row>
    <row r="8">
      <c r="A8" s="39" t="s">
        <v>1236</v>
      </c>
      <c r="B8" s="40" t="s">
        <v>1237</v>
      </c>
      <c r="C8" s="40" t="s">
        <v>1238</v>
      </c>
      <c r="D8" s="40">
        <v>250</v>
      </c>
      <c r="E8" s="40" t="s">
        <v>1203</v>
      </c>
      <c r="F8" s="40" t="s">
        <v>1239</v>
      </c>
      <c r="G8" s="40" t="s">
        <v>1240</v>
      </c>
      <c r="H8" s="40" t="s">
        <v>1241</v>
      </c>
      <c r="I8" s="40" t="s">
        <v>1241</v>
      </c>
      <c r="J8" s="40" t="s">
        <v>1241</v>
      </c>
      <c r="K8" s="40" t="s">
        <v>1242</v>
      </c>
    </row>
    <row r="9">
      <c r="A9" s="39" t="s">
        <v>1243</v>
      </c>
      <c r="B9" s="40" t="s">
        <v>1237</v>
      </c>
      <c r="C9" s="40" t="s">
        <v>1244</v>
      </c>
      <c r="D9" s="40">
        <v>250</v>
      </c>
      <c r="E9" s="40" t="s">
        <v>1203</v>
      </c>
      <c r="F9" s="40" t="s">
        <v>1245</v>
      </c>
      <c r="G9" s="40" t="s">
        <v>1246</v>
      </c>
      <c r="H9" s="40" t="s">
        <v>1241</v>
      </c>
      <c r="I9" s="40" t="s">
        <v>1241</v>
      </c>
      <c r="J9" s="40" t="s">
        <v>1241</v>
      </c>
      <c r="K9" s="40" t="s">
        <v>1247</v>
      </c>
    </row>
    <row r="10">
      <c r="A10" s="39" t="s">
        <v>1248</v>
      </c>
      <c r="B10" s="40" t="s">
        <v>1219</v>
      </c>
      <c r="C10" s="40" t="s">
        <v>1249</v>
      </c>
      <c r="D10" s="40" t="s">
        <v>1202</v>
      </c>
      <c r="E10" s="40" t="s">
        <v>1212</v>
      </c>
      <c r="F10" s="40" t="s">
        <v>1250</v>
      </c>
      <c r="G10" s="40" t="s">
        <v>1251</v>
      </c>
      <c r="H10" s="40" t="s">
        <v>1252</v>
      </c>
      <c r="I10" s="40" t="s">
        <v>1253</v>
      </c>
      <c r="J10" s="40" t="s">
        <v>1241</v>
      </c>
      <c r="K10" s="40" t="s">
        <v>1254</v>
      </c>
    </row>
    <row r="11">
      <c r="A11" s="39" t="s">
        <v>1255</v>
      </c>
      <c r="B11" s="40" t="s">
        <v>1256</v>
      </c>
      <c r="C11" s="40" t="s">
        <v>1257</v>
      </c>
      <c r="D11" s="40" t="s">
        <v>1231</v>
      </c>
      <c r="E11" s="40" t="s">
        <v>1258</v>
      </c>
      <c r="F11" s="40" t="s">
        <v>1259</v>
      </c>
      <c r="G11" s="40" t="s">
        <v>1260</v>
      </c>
      <c r="H11" s="40" t="s">
        <v>1252</v>
      </c>
      <c r="I11" s="40" t="s">
        <v>1261</v>
      </c>
      <c r="J11" s="40" t="s">
        <v>1208</v>
      </c>
      <c r="K11" s="40" t="s">
        <v>1262</v>
      </c>
    </row>
    <row r="12">
      <c r="A12" s="39" t="s">
        <v>1263</v>
      </c>
      <c r="B12" s="40" t="s">
        <v>1264</v>
      </c>
      <c r="C12" s="40" t="s">
        <v>1265</v>
      </c>
      <c r="D12" s="40" t="s">
        <v>1260</v>
      </c>
      <c r="E12" s="40" t="s">
        <v>1212</v>
      </c>
      <c r="F12" s="40" t="s">
        <v>1266</v>
      </c>
      <c r="G12" s="40" t="s">
        <v>1267</v>
      </c>
      <c r="H12" s="40" t="s">
        <v>1260</v>
      </c>
      <c r="I12" s="40" t="s">
        <v>1268</v>
      </c>
      <c r="J12" s="40" t="s">
        <v>1260</v>
      </c>
      <c r="K12" s="40" t="s">
        <v>1269</v>
      </c>
    </row>
    <row r="13">
      <c r="A13" s="39" t="s">
        <v>1270</v>
      </c>
      <c r="B13" s="40" t="s">
        <v>1271</v>
      </c>
      <c r="C13" s="40" t="s">
        <v>1272</v>
      </c>
      <c r="D13" s="40" t="s">
        <v>1273</v>
      </c>
      <c r="E13" s="40" t="s">
        <v>1212</v>
      </c>
      <c r="F13" s="40" t="s">
        <v>1274</v>
      </c>
      <c r="G13" s="40" t="s">
        <v>1275</v>
      </c>
      <c r="H13" s="40" t="s">
        <v>1260</v>
      </c>
      <c r="I13" s="40" t="s">
        <v>1260</v>
      </c>
      <c r="J13" s="40" t="s">
        <v>1260</v>
      </c>
      <c r="K13" s="40" t="s">
        <v>1276</v>
      </c>
    </row>
    <row r="14">
      <c r="A14" s="39" t="s">
        <v>1277</v>
      </c>
      <c r="B14" s="40" t="s">
        <v>1278</v>
      </c>
      <c r="C14" s="40" t="s">
        <v>1279</v>
      </c>
      <c r="D14" s="40" t="s">
        <v>1280</v>
      </c>
      <c r="E14" s="40" t="s">
        <v>1212</v>
      </c>
      <c r="F14" s="40" t="s">
        <v>1281</v>
      </c>
      <c r="G14" s="40" t="s">
        <v>1282</v>
      </c>
      <c r="H14" s="40" t="s">
        <v>1283</v>
      </c>
      <c r="I14" s="40" t="s">
        <v>1260</v>
      </c>
      <c r="J14" s="40" t="s">
        <v>1260</v>
      </c>
      <c r="K14" s="40" t="s">
        <v>1284</v>
      </c>
    </row>
    <row r="15">
      <c r="A15" s="39" t="s">
        <v>1285</v>
      </c>
      <c r="B15" s="40" t="s">
        <v>1190</v>
      </c>
      <c r="C15" s="40" t="s">
        <v>1286</v>
      </c>
      <c r="D15" s="40" t="s">
        <v>1287</v>
      </c>
      <c r="E15" s="40" t="s">
        <v>1212</v>
      </c>
      <c r="F15" s="40" t="s">
        <v>1288</v>
      </c>
      <c r="G15" s="40" t="s">
        <v>1289</v>
      </c>
      <c r="H15" s="40" t="s">
        <v>1260</v>
      </c>
      <c r="I15" s="40" t="s">
        <v>1260</v>
      </c>
      <c r="J15" s="40" t="s">
        <v>1260</v>
      </c>
      <c r="K15" s="40" t="s">
        <v>1290</v>
      </c>
    </row>
    <row r="16">
      <c r="A16" s="40"/>
      <c r="B16" s="40"/>
      <c r="C16" s="40"/>
      <c r="D16" s="40"/>
      <c r="E16" s="40"/>
      <c r="F16" s="40"/>
      <c r="G16" s="40"/>
      <c r="H16" s="40"/>
      <c r="I16" s="40"/>
      <c r="J16" s="40"/>
      <c r="K16" s="40"/>
    </row>
    <row r="17">
      <c r="A17" s="41" t="s">
        <v>1291</v>
      </c>
      <c r="B17" s="41"/>
      <c r="C17" s="41"/>
      <c r="D17" s="41"/>
      <c r="E17" s="41"/>
      <c r="F17" s="41"/>
      <c r="G17" s="41"/>
      <c r="H17" s="41"/>
      <c r="I17" s="41"/>
      <c r="J17" s="41"/>
      <c r="K17" s="41"/>
    </row>
    <row r="18">
      <c r="A18" s="41" t="s">
        <v>1292</v>
      </c>
      <c r="B18" s="41"/>
      <c r="C18" s="41"/>
      <c r="D18" s="41"/>
      <c r="E18" s="41"/>
      <c r="F18" s="41"/>
      <c r="G18" s="41"/>
      <c r="H18" s="41"/>
      <c r="I18" s="41"/>
      <c r="J18" s="41"/>
      <c r="K18" s="41"/>
    </row>
  </sheetData>
  <picture r:id="rId1"/>
</worksheet>
</file>

<file path=xl/worksheets/sheet1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sheetData>
    <row r="1">
      <c r="A1" t="s">
        <v>1293</v>
      </c>
    </row>
    <row r="2">
      <c r="A2" t="s">
        <v>1294</v>
      </c>
      <c r="B2" t="s">
        <v>1295</v>
      </c>
      <c r="C2" t="s">
        <v>1296</v>
      </c>
      <c r="D2" t="s">
        <v>1297</v>
      </c>
    </row>
    <row r="3">
      <c r="A3" t="s">
        <v>1298</v>
      </c>
      <c r="B3" t="s">
        <v>1299</v>
      </c>
      <c r="C3" t="s">
        <v>1300</v>
      </c>
      <c r="D3" t="s">
        <v>1301</v>
      </c>
    </row>
    <row r="4">
      <c r="A4" t="s">
        <v>1298</v>
      </c>
      <c r="B4" t="s">
        <v>1302</v>
      </c>
      <c r="C4" t="s">
        <v>1303</v>
      </c>
      <c r="D4" t="s">
        <v>1304</v>
      </c>
    </row>
    <row r="5">
      <c r="A5" t="s">
        <v>1298</v>
      </c>
      <c r="B5" t="s">
        <v>1305</v>
      </c>
      <c r="C5" t="s">
        <v>1306</v>
      </c>
      <c r="D5" t="s">
        <v>1307</v>
      </c>
    </row>
    <row r="6">
      <c r="A6" t="s">
        <v>1298</v>
      </c>
      <c r="B6" t="s">
        <v>1308</v>
      </c>
      <c r="C6" t="s">
        <v>1309</v>
      </c>
      <c r="D6" t="s">
        <v>1310</v>
      </c>
    </row>
    <row r="7">
      <c r="A7" t="s">
        <v>1298</v>
      </c>
      <c r="B7" t="s">
        <v>1311</v>
      </c>
      <c r="C7" t="s">
        <v>1312</v>
      </c>
      <c r="D7" t="s">
        <v>1313</v>
      </c>
    </row>
    <row r="8">
      <c r="A8" t="s">
        <v>1298</v>
      </c>
      <c r="B8" t="s">
        <v>1314</v>
      </c>
      <c r="C8" t="s">
        <v>1315</v>
      </c>
      <c r="D8" t="s">
        <v>1316</v>
      </c>
    </row>
    <row r="9">
      <c r="A9" t="s">
        <v>1298</v>
      </c>
      <c r="B9" t="s">
        <v>1317</v>
      </c>
      <c r="C9" t="s">
        <v>1318</v>
      </c>
      <c r="D9" t="s">
        <v>1319</v>
      </c>
    </row>
    <row r="10">
      <c r="A10" t="s">
        <v>1298</v>
      </c>
      <c r="B10" t="s">
        <v>1320</v>
      </c>
      <c r="C10" t="s">
        <v>1321</v>
      </c>
      <c r="D10" t="s">
        <v>1322</v>
      </c>
    </row>
    <row r="11">
      <c r="A11" t="s">
        <v>1323</v>
      </c>
      <c r="B11" t="s">
        <v>1324</v>
      </c>
      <c r="C11" t="s">
        <v>1325</v>
      </c>
      <c r="D11" t="s">
        <v>1301</v>
      </c>
    </row>
    <row r="12">
      <c r="A12" t="s">
        <v>1323</v>
      </c>
      <c r="B12" t="s">
        <v>1326</v>
      </c>
      <c r="C12" t="s">
        <v>1327</v>
      </c>
      <c r="D12" t="s">
        <v>1328</v>
      </c>
    </row>
    <row r="13">
      <c r="A13" t="s">
        <v>1323</v>
      </c>
      <c r="B13" t="s">
        <v>1329</v>
      </c>
      <c r="C13" t="s">
        <v>1330</v>
      </c>
      <c r="D13" t="s">
        <v>1331</v>
      </c>
    </row>
    <row r="14">
      <c r="A14" t="s">
        <v>1323</v>
      </c>
      <c r="B14" t="s">
        <v>1332</v>
      </c>
      <c r="C14" t="s">
        <v>1333</v>
      </c>
      <c r="D14" t="s">
        <v>1334</v>
      </c>
    </row>
    <row r="15">
      <c r="A15" t="s">
        <v>1323</v>
      </c>
      <c r="B15" t="s">
        <v>1335</v>
      </c>
      <c r="C15" t="s">
        <v>1336</v>
      </c>
      <c r="D15" t="s">
        <v>1337</v>
      </c>
    </row>
    <row r="16">
      <c r="A16" t="s">
        <v>1323</v>
      </c>
      <c r="B16" t="s">
        <v>1338</v>
      </c>
      <c r="C16" t="s">
        <v>1339</v>
      </c>
      <c r="D16" t="s">
        <v>1340</v>
      </c>
    </row>
    <row r="17">
      <c r="A17" t="s">
        <v>1323</v>
      </c>
      <c r="B17" t="s">
        <v>1341</v>
      </c>
      <c r="C17" t="s">
        <v>1342</v>
      </c>
      <c r="D17" t="s">
        <v>1337</v>
      </c>
    </row>
    <row r="18">
      <c r="A18" t="s">
        <v>1323</v>
      </c>
      <c r="B18" t="s">
        <v>1343</v>
      </c>
      <c r="C18" t="s">
        <v>1344</v>
      </c>
      <c r="D18" t="s">
        <v>1345</v>
      </c>
    </row>
    <row r="19">
      <c r="A19" t="s">
        <v>1323</v>
      </c>
      <c r="B19" t="s">
        <v>1346</v>
      </c>
      <c r="C19" t="s">
        <v>1347</v>
      </c>
      <c r="D19" t="s">
        <v>1348</v>
      </c>
    </row>
    <row r="20">
      <c r="A20" t="s">
        <v>1323</v>
      </c>
      <c r="B20" t="s">
        <v>1349</v>
      </c>
      <c r="C20" t="s">
        <v>1350</v>
      </c>
      <c r="D20" t="s">
        <v>1351</v>
      </c>
    </row>
    <row r="21">
      <c r="A21" t="s">
        <v>1352</v>
      </c>
      <c r="B21" t="s">
        <v>1353</v>
      </c>
      <c r="C21" t="s">
        <v>1354</v>
      </c>
      <c r="D21" t="s">
        <v>1355</v>
      </c>
    </row>
    <row r="22">
      <c r="A22" t="s">
        <v>1352</v>
      </c>
      <c r="B22" t="s">
        <v>1356</v>
      </c>
      <c r="C22" t="s">
        <v>1357</v>
      </c>
      <c r="D22" t="s">
        <v>1348</v>
      </c>
    </row>
    <row r="23">
      <c r="A23" t="s">
        <v>1352</v>
      </c>
      <c r="B23" t="s">
        <v>1358</v>
      </c>
      <c r="C23" t="s">
        <v>1359</v>
      </c>
      <c r="D23" t="s">
        <v>1360</v>
      </c>
    </row>
    <row r="24">
      <c r="A24" t="s">
        <v>1352</v>
      </c>
      <c r="B24" t="s">
        <v>1361</v>
      </c>
      <c r="C24" t="s">
        <v>1362</v>
      </c>
      <c r="D24" t="s">
        <v>1363</v>
      </c>
    </row>
    <row r="25">
      <c r="A25" t="s">
        <v>1352</v>
      </c>
      <c r="B25" t="s">
        <v>1364</v>
      </c>
      <c r="C25" t="s">
        <v>1365</v>
      </c>
      <c r="D25" t="s">
        <v>1319</v>
      </c>
    </row>
    <row r="26">
      <c r="A26" t="s">
        <v>1366</v>
      </c>
      <c r="B26" t="s">
        <v>1367</v>
      </c>
      <c r="C26" t="s">
        <v>1368</v>
      </c>
      <c r="D26" t="s">
        <v>1369</v>
      </c>
    </row>
    <row r="27">
      <c r="A27" t="s">
        <v>1366</v>
      </c>
      <c r="B27" t="s">
        <v>1370</v>
      </c>
      <c r="C27" t="s">
        <v>1371</v>
      </c>
      <c r="D27" t="s">
        <v>1369</v>
      </c>
    </row>
    <row r="28">
      <c r="A28" t="s">
        <v>1366</v>
      </c>
      <c r="B28" t="s">
        <v>1372</v>
      </c>
      <c r="C28" t="s">
        <v>1373</v>
      </c>
      <c r="D28" t="s">
        <v>1369</v>
      </c>
    </row>
    <row r="29">
      <c r="A29" t="s">
        <v>1366</v>
      </c>
      <c r="B29" t="s">
        <v>1374</v>
      </c>
      <c r="C29" t="s">
        <v>1375</v>
      </c>
      <c r="D29" t="s">
        <v>1369</v>
      </c>
    </row>
    <row r="30">
      <c r="A30" t="s">
        <v>1376</v>
      </c>
      <c r="B30" t="s">
        <v>1377</v>
      </c>
      <c r="C30" t="s">
        <v>1378</v>
      </c>
      <c r="D30" t="s">
        <v>1369</v>
      </c>
    </row>
    <row r="31">
      <c r="A31" t="s">
        <v>1376</v>
      </c>
      <c r="B31" t="s">
        <v>1379</v>
      </c>
      <c r="C31" t="s">
        <v>1380</v>
      </c>
      <c r="D31" t="s">
        <v>1369</v>
      </c>
    </row>
    <row r="32">
      <c r="A32" t="s">
        <v>1376</v>
      </c>
      <c r="B32" t="s">
        <v>1381</v>
      </c>
      <c r="C32" t="s">
        <v>1382</v>
      </c>
      <c r="D32" t="s">
        <v>1369</v>
      </c>
    </row>
    <row r="33">
      <c r="A33" t="s">
        <v>1376</v>
      </c>
      <c r="B33" t="s">
        <v>1383</v>
      </c>
      <c r="C33" t="s">
        <v>1384</v>
      </c>
      <c r="D33" t="s">
        <v>1369</v>
      </c>
    </row>
  </sheetData>
  <picture r:id="rId1"/>
</worksheet>
</file>

<file path=xl/worksheets/sheet1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7" min="7" style="0" width="34"/>
    <col collapsed="false" customWidth="true" hidden="false" max="1" min="1" style="0" width="24"/>
    <col collapsed="false" customWidth="true" hidden="false" max="3" min="3" style="0" width="34"/>
    <col collapsed="false" customWidth="true" hidden="false" max="5" min="5" style="0" width="34"/>
    <col collapsed="false" customWidth="true" hidden="false" max="8" min="8" style="0" width="29"/>
    <col collapsed="false" customWidth="true" hidden="false" max="2" min="2" style="0" width="34"/>
    <col collapsed="false" customWidth="true" hidden="false" max="4" min="4" style="0" width="34"/>
    <col collapsed="false" customWidth="true" hidden="false" max="6" min="6" style="0" width="34"/>
  </cols>
  <sheetData>
    <row r="1">
      <c r="A1" s="42" t="s">
        <v>1385</v>
      </c>
      <c r="B1" s="42"/>
      <c r="C1" s="42"/>
      <c r="D1" s="42"/>
      <c r="E1" s="42"/>
      <c r="F1" s="42"/>
      <c r="G1" s="42"/>
      <c r="H1" s="42"/>
    </row>
    <row r="2">
      <c r="A2" s="43" t="s">
        <v>1386</v>
      </c>
      <c r="B2" s="43"/>
      <c r="C2" s="43"/>
      <c r="D2" s="43"/>
      <c r="E2" s="43"/>
      <c r="F2" s="43"/>
      <c r="G2" s="43"/>
      <c r="H2" s="43"/>
    </row>
    <row r="3">
      <c r="A3" s="44"/>
      <c r="B3" s="44"/>
      <c r="C3" s="44"/>
      <c r="D3" s="44"/>
      <c r="E3" s="44"/>
      <c r="F3" s="44"/>
      <c r="G3" s="44"/>
      <c r="H3" s="44"/>
    </row>
    <row r="4">
      <c r="A4" s="45" t="s">
        <v>1387</v>
      </c>
      <c r="B4" s="45"/>
      <c r="C4" s="45"/>
      <c r="D4" s="45"/>
      <c r="E4" s="45"/>
      <c r="F4" s="45"/>
      <c r="G4" s="45"/>
      <c r="H4" s="45"/>
    </row>
    <row r="5">
      <c r="A5" s="45" t="s">
        <v>1388</v>
      </c>
      <c r="B5" s="45" t="s">
        <v>1389</v>
      </c>
      <c r="C5" s="45" t="s">
        <v>1390</v>
      </c>
      <c r="D5" s="45" t="s">
        <v>1391</v>
      </c>
      <c r="E5" s="45" t="s">
        <v>1392</v>
      </c>
      <c r="F5" s="45" t="s">
        <v>1393</v>
      </c>
      <c r="G5" s="45" t="s">
        <v>1394</v>
      </c>
      <c r="H5" s="45" t="s">
        <v>1395</v>
      </c>
    </row>
    <row r="6">
      <c r="A6" s="46" t="s">
        <v>1396</v>
      </c>
      <c r="B6" s="44" t="s">
        <v>1397</v>
      </c>
      <c r="C6" s="44" t="s">
        <v>1398</v>
      </c>
      <c r="D6" s="44" t="s">
        <v>1399</v>
      </c>
      <c r="E6" s="44" t="s">
        <v>1400</v>
      </c>
      <c r="F6" s="44" t="s">
        <v>1401</v>
      </c>
      <c r="G6" s="44" t="s">
        <v>1402</v>
      </c>
      <c r="H6" s="44" t="s">
        <v>1403</v>
      </c>
    </row>
    <row r="7">
      <c r="A7" s="46" t="s">
        <v>1404</v>
      </c>
      <c r="B7" s="44" t="s">
        <v>1405</v>
      </c>
      <c r="C7" s="44" t="s">
        <v>1406</v>
      </c>
      <c r="D7" s="44" t="s">
        <v>1407</v>
      </c>
      <c r="E7" s="44" t="s">
        <v>1408</v>
      </c>
      <c r="F7" s="44" t="s">
        <v>1409</v>
      </c>
      <c r="G7" s="44" t="s">
        <v>1410</v>
      </c>
      <c r="H7" s="44" t="s">
        <v>1411</v>
      </c>
    </row>
    <row r="8">
      <c r="A8" s="46" t="s">
        <v>1412</v>
      </c>
      <c r="B8" s="44" t="s">
        <v>1413</v>
      </c>
      <c r="C8" s="44" t="s">
        <v>1414</v>
      </c>
      <c r="D8" s="44" t="s">
        <v>1415</v>
      </c>
      <c r="E8" s="44" t="s">
        <v>1416</v>
      </c>
      <c r="F8" s="44" t="s">
        <v>1417</v>
      </c>
      <c r="G8" s="44" t="s">
        <v>1418</v>
      </c>
      <c r="H8" s="44" t="s">
        <v>1419</v>
      </c>
    </row>
    <row r="9">
      <c r="A9" s="46" t="s">
        <v>1420</v>
      </c>
      <c r="B9" s="44" t="s">
        <v>1421</v>
      </c>
      <c r="C9" s="44" t="s">
        <v>1422</v>
      </c>
      <c r="D9" s="44" t="s">
        <v>1423</v>
      </c>
      <c r="E9" s="44" t="s">
        <v>1424</v>
      </c>
      <c r="F9" s="44" t="s">
        <v>1425</v>
      </c>
      <c r="G9" s="44" t="s">
        <v>1426</v>
      </c>
      <c r="H9" s="44" t="s">
        <v>1427</v>
      </c>
    </row>
    <row r="10">
      <c r="A10" s="46" t="s">
        <v>1428</v>
      </c>
      <c r="B10" s="44" t="s">
        <v>1429</v>
      </c>
      <c r="C10" s="44" t="s">
        <v>1430</v>
      </c>
      <c r="D10" s="44" t="s">
        <v>1431</v>
      </c>
      <c r="E10" s="44" t="s">
        <v>1432</v>
      </c>
      <c r="F10" s="44" t="s">
        <v>1433</v>
      </c>
      <c r="G10" s="44" t="s">
        <v>1434</v>
      </c>
      <c r="H10" s="44" t="s">
        <v>1435</v>
      </c>
    </row>
    <row r="11">
      <c r="A11" s="46" t="s">
        <v>1436</v>
      </c>
      <c r="B11" s="44" t="s">
        <v>1437</v>
      </c>
      <c r="C11" s="44" t="s">
        <v>1438</v>
      </c>
      <c r="D11" s="44" t="s">
        <v>1439</v>
      </c>
      <c r="E11" s="44" t="s">
        <v>1440</v>
      </c>
      <c r="F11" s="44" t="s">
        <v>1441</v>
      </c>
      <c r="G11" s="44" t="s">
        <v>1442</v>
      </c>
      <c r="H11" s="44" t="s">
        <v>1443</v>
      </c>
    </row>
    <row r="12">
      <c r="A12" s="46" t="s">
        <v>1444</v>
      </c>
      <c r="B12" s="44" t="s">
        <v>1445</v>
      </c>
      <c r="C12" s="44" t="s">
        <v>1446</v>
      </c>
      <c r="D12" s="44" t="s">
        <v>1447</v>
      </c>
      <c r="E12" s="44" t="s">
        <v>1448</v>
      </c>
      <c r="F12" s="44" t="s">
        <v>1449</v>
      </c>
      <c r="G12" s="44" t="s">
        <v>1450</v>
      </c>
      <c r="H12" s="44" t="s">
        <v>1451</v>
      </c>
    </row>
    <row r="13">
      <c r="A13" s="46" t="s">
        <v>1452</v>
      </c>
      <c r="B13" s="44" t="s">
        <v>1453</v>
      </c>
      <c r="C13" s="44" t="s">
        <v>1454</v>
      </c>
      <c r="D13" s="44" t="s">
        <v>1455</v>
      </c>
      <c r="E13" s="44" t="s">
        <v>1456</v>
      </c>
      <c r="F13" s="44" t="s">
        <v>1457</v>
      </c>
      <c r="G13" s="44" t="s">
        <v>1458</v>
      </c>
      <c r="H13" s="44" t="s">
        <v>1459</v>
      </c>
    </row>
    <row r="14">
      <c r="A14" s="46" t="s">
        <v>1460</v>
      </c>
      <c r="B14" s="44" t="s">
        <v>1461</v>
      </c>
      <c r="C14" s="44" t="s">
        <v>1462</v>
      </c>
      <c r="D14" s="44" t="s">
        <v>1463</v>
      </c>
      <c r="E14" s="44" t="s">
        <v>1464</v>
      </c>
      <c r="F14" s="44" t="s">
        <v>1465</v>
      </c>
      <c r="G14" s="44" t="s">
        <v>1466</v>
      </c>
      <c r="H14" s="44" t="s">
        <v>1467</v>
      </c>
    </row>
    <row r="15">
      <c r="A15" s="46" t="s">
        <v>1468</v>
      </c>
      <c r="B15" s="44" t="s">
        <v>1469</v>
      </c>
      <c r="C15" s="44" t="s">
        <v>1470</v>
      </c>
      <c r="D15" s="44" t="s">
        <v>1471</v>
      </c>
      <c r="E15" s="44" t="s">
        <v>1472</v>
      </c>
      <c r="F15" s="44" t="s">
        <v>1473</v>
      </c>
      <c r="G15" s="44" t="s">
        <v>1474</v>
      </c>
      <c r="H15" s="44" t="s">
        <v>1475</v>
      </c>
    </row>
    <row r="16">
      <c r="A16" s="46" t="s">
        <v>1476</v>
      </c>
      <c r="B16" s="44" t="s">
        <v>1477</v>
      </c>
      <c r="C16" s="44" t="s">
        <v>1478</v>
      </c>
      <c r="D16" s="44" t="s">
        <v>1479</v>
      </c>
      <c r="E16" s="44" t="s">
        <v>1480</v>
      </c>
      <c r="F16" s="44" t="s">
        <v>1481</v>
      </c>
      <c r="G16" s="44" t="s">
        <v>1482</v>
      </c>
      <c r="H16" s="44" t="s">
        <v>1483</v>
      </c>
    </row>
    <row r="17">
      <c r="A17" s="46" t="s">
        <v>1484</v>
      </c>
      <c r="B17" s="44" t="s">
        <v>1485</v>
      </c>
      <c r="C17" s="44" t="s">
        <v>1486</v>
      </c>
      <c r="D17" s="44" t="s">
        <v>1487</v>
      </c>
      <c r="E17" s="44" t="s">
        <v>1488</v>
      </c>
      <c r="F17" s="44" t="s">
        <v>1489</v>
      </c>
      <c r="G17" s="44" t="s">
        <v>1490</v>
      </c>
      <c r="H17" s="44" t="s">
        <v>1491</v>
      </c>
    </row>
    <row r="18">
      <c r="A18" s="46" t="s">
        <v>1492</v>
      </c>
      <c r="B18" s="44" t="s">
        <v>1493</v>
      </c>
      <c r="C18" s="44" t="s">
        <v>1494</v>
      </c>
      <c r="D18" s="44" t="s">
        <v>1495</v>
      </c>
      <c r="E18" s="44" t="s">
        <v>1496</v>
      </c>
      <c r="F18" s="44" t="s">
        <v>1497</v>
      </c>
      <c r="G18" s="44" t="s">
        <v>1498</v>
      </c>
      <c r="H18" s="44" t="s">
        <v>1499</v>
      </c>
    </row>
    <row r="19">
      <c r="A19" s="46"/>
      <c r="B19" s="44"/>
      <c r="C19" s="44"/>
      <c r="D19" s="44"/>
      <c r="E19" s="44"/>
      <c r="F19" s="44"/>
      <c r="G19" s="44"/>
      <c r="H19" s="44"/>
    </row>
    <row r="20">
      <c r="A20" s="45" t="s">
        <v>1500</v>
      </c>
      <c r="B20" s="45"/>
      <c r="C20" s="45"/>
      <c r="D20" s="45"/>
      <c r="E20" s="45"/>
      <c r="F20" s="45"/>
      <c r="G20" s="45"/>
      <c r="H20" s="45"/>
    </row>
    <row r="21">
      <c r="A21" s="45" t="s">
        <v>1501</v>
      </c>
      <c r="B21" s="45" t="s">
        <v>1502</v>
      </c>
      <c r="C21" s="45" t="s">
        <v>1503</v>
      </c>
      <c r="D21" s="45" t="s">
        <v>1504</v>
      </c>
      <c r="E21" s="45" t="s">
        <v>1505</v>
      </c>
      <c r="F21" s="45" t="s">
        <v>1506</v>
      </c>
      <c r="G21" s="45"/>
      <c r="H21" s="45"/>
    </row>
    <row r="22">
      <c r="A22" s="46" t="s">
        <v>1507</v>
      </c>
      <c r="B22" s="44" t="s">
        <v>1508</v>
      </c>
      <c r="C22" s="44" t="s">
        <v>1509</v>
      </c>
      <c r="D22" s="44" t="s">
        <v>1510</v>
      </c>
      <c r="E22" s="44" t="s">
        <v>1511</v>
      </c>
      <c r="F22" s="44" t="s">
        <v>1512</v>
      </c>
      <c r="G22" s="44"/>
      <c r="H22" s="44"/>
    </row>
    <row r="23">
      <c r="A23" s="46" t="s">
        <v>1513</v>
      </c>
      <c r="B23" s="44" t="s">
        <v>1514</v>
      </c>
      <c r="C23" s="44" t="s">
        <v>1515</v>
      </c>
      <c r="D23" s="44" t="s">
        <v>1516</v>
      </c>
      <c r="E23" s="44" t="s">
        <v>1517</v>
      </c>
      <c r="F23" s="44" t="s">
        <v>1518</v>
      </c>
      <c r="G23" s="44"/>
      <c r="H23" s="44"/>
    </row>
    <row r="24">
      <c r="A24" s="46" t="s">
        <v>1519</v>
      </c>
      <c r="B24" s="44" t="s">
        <v>1520</v>
      </c>
      <c r="C24" s="44" t="s">
        <v>1521</v>
      </c>
      <c r="D24" s="44" t="s">
        <v>1522</v>
      </c>
      <c r="E24" s="44" t="s">
        <v>1523</v>
      </c>
      <c r="F24" s="44" t="s">
        <v>1524</v>
      </c>
      <c r="G24" s="44"/>
      <c r="H24" s="44"/>
    </row>
    <row r="25">
      <c r="A25" s="46" t="s">
        <v>1525</v>
      </c>
      <c r="B25" s="44" t="s">
        <v>1526</v>
      </c>
      <c r="C25" s="44" t="s">
        <v>1527</v>
      </c>
      <c r="D25" s="44" t="s">
        <v>1528</v>
      </c>
      <c r="E25" s="44" t="s">
        <v>1529</v>
      </c>
      <c r="F25" s="44" t="s">
        <v>1530</v>
      </c>
      <c r="G25" s="44"/>
      <c r="H25" s="44"/>
    </row>
    <row r="26">
      <c r="A26" s="46" t="s">
        <v>1531</v>
      </c>
      <c r="B26" s="44" t="s">
        <v>1532</v>
      </c>
      <c r="C26" s="44" t="s">
        <v>1533</v>
      </c>
      <c r="D26" s="44" t="s">
        <v>1534</v>
      </c>
      <c r="E26" s="44" t="s">
        <v>1535</v>
      </c>
      <c r="F26" s="44" t="s">
        <v>1536</v>
      </c>
      <c r="G26" s="44"/>
      <c r="H26" s="44"/>
    </row>
    <row r="27">
      <c r="A27" s="46" t="s">
        <v>1537</v>
      </c>
      <c r="B27" s="44" t="s">
        <v>1538</v>
      </c>
      <c r="C27" s="44" t="s">
        <v>1539</v>
      </c>
      <c r="D27" s="44" t="s">
        <v>1540</v>
      </c>
      <c r="E27" s="44" t="s">
        <v>1541</v>
      </c>
      <c r="F27" s="44" t="s">
        <v>1542</v>
      </c>
      <c r="G27" s="44"/>
      <c r="H27" s="44"/>
    </row>
    <row r="28">
      <c r="A28" s="46" t="s">
        <v>1543</v>
      </c>
      <c r="B28" s="44" t="s">
        <v>1544</v>
      </c>
      <c r="C28" s="44" t="s">
        <v>1545</v>
      </c>
      <c r="D28" s="44" t="s">
        <v>1546</v>
      </c>
      <c r="E28" s="44" t="s">
        <v>1547</v>
      </c>
      <c r="F28" s="44" t="s">
        <v>1548</v>
      </c>
      <c r="G28" s="44"/>
      <c r="H28" s="44"/>
    </row>
    <row r="29">
      <c r="A29" s="46" t="s">
        <v>1549</v>
      </c>
      <c r="B29" s="44" t="s">
        <v>1550</v>
      </c>
      <c r="C29" s="44" t="s">
        <v>1551</v>
      </c>
      <c r="D29" s="44" t="s">
        <v>1552</v>
      </c>
      <c r="E29" s="44" t="s">
        <v>1553</v>
      </c>
      <c r="F29" s="44" t="s">
        <v>1554</v>
      </c>
      <c r="G29" s="44"/>
      <c r="H29" s="44"/>
    </row>
    <row r="30">
      <c r="A30" s="46" t="s">
        <v>1555</v>
      </c>
      <c r="B30" s="44" t="s">
        <v>1556</v>
      </c>
      <c r="C30" s="44" t="s">
        <v>1557</v>
      </c>
      <c r="D30" s="44" t="s">
        <v>1558</v>
      </c>
      <c r="E30" s="44" t="s">
        <v>1559</v>
      </c>
      <c r="F30" s="44" t="s">
        <v>1560</v>
      </c>
      <c r="G30" s="44"/>
      <c r="H30" s="44"/>
    </row>
    <row r="31">
      <c r="A31" s="46" t="s">
        <v>1561</v>
      </c>
      <c r="B31" s="44" t="s">
        <v>1562</v>
      </c>
      <c r="C31" s="44" t="s">
        <v>1563</v>
      </c>
      <c r="D31" s="44" t="s">
        <v>1552</v>
      </c>
      <c r="E31" s="44" t="s">
        <v>1564</v>
      </c>
      <c r="F31" s="44" t="s">
        <v>1565</v>
      </c>
      <c r="G31" s="44"/>
      <c r="H31" s="44"/>
    </row>
    <row r="32">
      <c r="A32" s="46" t="s">
        <v>1566</v>
      </c>
      <c r="B32" s="44" t="s">
        <v>1567</v>
      </c>
      <c r="C32" s="44" t="s">
        <v>1568</v>
      </c>
      <c r="D32" s="44" t="s">
        <v>1569</v>
      </c>
      <c r="E32" s="44" t="s">
        <v>1570</v>
      </c>
      <c r="F32" s="44" t="s">
        <v>1571</v>
      </c>
      <c r="G32" s="44"/>
      <c r="H32" s="44"/>
    </row>
    <row r="33">
      <c r="A33" s="46" t="s">
        <v>1572</v>
      </c>
      <c r="B33" s="44" t="s">
        <v>1573</v>
      </c>
      <c r="C33" s="44" t="s">
        <v>1574</v>
      </c>
      <c r="D33" s="44" t="s">
        <v>1552</v>
      </c>
      <c r="E33" s="44" t="s">
        <v>1575</v>
      </c>
      <c r="F33" s="44" t="s">
        <v>1576</v>
      </c>
      <c r="G33" s="44"/>
      <c r="H33" s="44"/>
    </row>
    <row r="34">
      <c r="A34" s="44"/>
      <c r="B34" s="44"/>
      <c r="C34" s="44"/>
      <c r="D34" s="44"/>
      <c r="E34" s="44"/>
      <c r="F34" s="44"/>
      <c r="G34" s="44"/>
      <c r="H34" s="44"/>
    </row>
    <row r="35">
      <c r="A35" s="45" t="s">
        <v>1577</v>
      </c>
      <c r="B35" s="45"/>
      <c r="C35" s="45"/>
      <c r="D35" s="45"/>
      <c r="E35" s="45"/>
      <c r="F35" s="45"/>
      <c r="G35" s="45"/>
      <c r="H35" s="45"/>
    </row>
    <row r="36">
      <c r="A36" s="43" t="s">
        <v>1578</v>
      </c>
      <c r="B36" s="43"/>
      <c r="C36" s="43"/>
      <c r="D36" s="43"/>
      <c r="E36" s="43"/>
      <c r="F36" s="43"/>
      <c r="G36" s="43"/>
      <c r="H36" s="43"/>
    </row>
    <row r="37">
      <c r="A37" s="43" t="s">
        <v>1579</v>
      </c>
      <c r="B37" s="43"/>
      <c r="C37" s="43"/>
      <c r="D37" s="43"/>
      <c r="E37" s="43"/>
      <c r="F37" s="43"/>
      <c r="G37" s="43"/>
      <c r="H37" s="43"/>
    </row>
    <row r="38">
      <c r="A38" s="43" t="s">
        <v>1580</v>
      </c>
      <c r="B38" s="43"/>
      <c r="C38" s="43"/>
      <c r="D38" s="43"/>
      <c r="E38" s="43"/>
      <c r="F38" s="43"/>
      <c r="G38" s="43"/>
      <c r="H38" s="43"/>
    </row>
    <row r="39">
      <c r="A39" s="43" t="s">
        <v>1581</v>
      </c>
      <c r="B39" s="43"/>
      <c r="C39" s="43"/>
      <c r="D39" s="43"/>
      <c r="E39" s="43"/>
      <c r="F39" s="43"/>
      <c r="G39" s="43"/>
      <c r="H39" s="43"/>
    </row>
    <row r="40">
      <c r="A40" s="43" t="s">
        <v>1582</v>
      </c>
      <c r="B40" s="43"/>
      <c r="C40" s="43"/>
      <c r="D40" s="43"/>
      <c r="E40" s="43"/>
      <c r="F40" s="43"/>
      <c r="G40" s="43"/>
      <c r="H40" s="43"/>
    </row>
    <row r="41">
      <c r="A41" s="43" t="s">
        <v>1583</v>
      </c>
      <c r="B41" s="43"/>
      <c r="C41" s="43"/>
      <c r="D41" s="43"/>
      <c r="E41" s="43"/>
      <c r="F41" s="43"/>
      <c r="G41" s="43"/>
      <c r="H41" s="43"/>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